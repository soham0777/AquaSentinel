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AquaSentinel\private\1_semifinal_24-25_Oct\investor_pitch_assets\"/>
    </mc:Choice>
  </mc:AlternateContent>
  <xr:revisionPtr revIDLastSave="0" documentId="13_ncr:1_{67B059E6-87A2-4C4B-A3A0-1BAB59AD1D7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mary" sheetId="1" r:id="rId1"/>
    <sheet name="Costed BOM" sheetId="2" r:id="rId2"/>
    <sheet name="Fabricated parts" sheetId="3" r:id="rId3"/>
    <sheet name="R3 BOM check" sheetId="4" r:id="rId4"/>
    <sheet name="Business model" sheetId="5" r:id="rId5"/>
    <sheet name="Rates &amp; assumptions" sheetId="6" r:id="rId6"/>
    <sheet name="Sources" sheetId="7" r:id="rId7"/>
  </sheets>
  <definedNames>
    <definedName name="_xlnm._FilterDatabase" localSheetId="1" hidden="1">'Costed BOM'!$A$1:$M$80</definedName>
    <definedName name="_xlnm._FilterDatabase" localSheetId="3" hidden="1">'R3 BOM check'!$A$1:$H$67</definedName>
  </definedNames>
  <calcPr calcId="191029"/>
</workbook>
</file>

<file path=xl/calcChain.xml><?xml version="1.0" encoding="utf-8"?>
<calcChain xmlns="http://schemas.openxmlformats.org/spreadsheetml/2006/main">
  <c r="B40" i="5" l="1"/>
  <c r="C32" i="5"/>
  <c r="C31" i="5"/>
  <c r="C30" i="5"/>
  <c r="C29" i="5"/>
  <c r="C28" i="5"/>
  <c r="B25" i="5"/>
  <c r="B23" i="5"/>
  <c r="B21" i="5"/>
  <c r="B18" i="5"/>
  <c r="C69" i="4"/>
  <c r="B69" i="4"/>
  <c r="L28" i="3"/>
  <c r="G28" i="3"/>
  <c r="O28" i="3" s="1"/>
  <c r="L27" i="3"/>
  <c r="G27" i="3"/>
  <c r="O27" i="3" s="1"/>
  <c r="L26" i="3"/>
  <c r="G26" i="3"/>
  <c r="L25" i="3"/>
  <c r="G25" i="3"/>
  <c r="O25" i="3" s="1"/>
  <c r="L24" i="3"/>
  <c r="G24" i="3"/>
  <c r="O24" i="3" s="1"/>
  <c r="L23" i="3"/>
  <c r="G23" i="3"/>
  <c r="L22" i="3"/>
  <c r="G22" i="3"/>
  <c r="O22" i="3" s="1"/>
  <c r="L21" i="3"/>
  <c r="G21" i="3"/>
  <c r="O21" i="3" s="1"/>
  <c r="L20" i="3"/>
  <c r="G20" i="3"/>
  <c r="L19" i="3"/>
  <c r="G19" i="3"/>
  <c r="O19" i="3" s="1"/>
  <c r="L18" i="3"/>
  <c r="G18" i="3"/>
  <c r="O18" i="3" s="1"/>
  <c r="L17" i="3"/>
  <c r="G17" i="3"/>
  <c r="L16" i="3"/>
  <c r="G16" i="3"/>
  <c r="O16" i="3" s="1"/>
  <c r="L15" i="3"/>
  <c r="G15" i="3"/>
  <c r="O15" i="3" s="1"/>
  <c r="L14" i="3"/>
  <c r="G14" i="3"/>
  <c r="L13" i="3"/>
  <c r="G13" i="3"/>
  <c r="O13" i="3" s="1"/>
  <c r="L12" i="3"/>
  <c r="G12" i="3"/>
  <c r="O12" i="3" s="1"/>
  <c r="L11" i="3"/>
  <c r="G11" i="3"/>
  <c r="L10" i="3"/>
  <c r="G10" i="3"/>
  <c r="O10" i="3" s="1"/>
  <c r="L9" i="3"/>
  <c r="G9" i="3"/>
  <c r="O9" i="3" s="1"/>
  <c r="L8" i="3"/>
  <c r="G8" i="3"/>
  <c r="L7" i="3"/>
  <c r="G7" i="3"/>
  <c r="O7" i="3" s="1"/>
  <c r="L6" i="3"/>
  <c r="G6" i="3"/>
  <c r="O6" i="3" s="1"/>
  <c r="L5" i="3"/>
  <c r="G5" i="3"/>
  <c r="L4" i="3"/>
  <c r="G4" i="3"/>
  <c r="O4" i="3" s="1"/>
  <c r="L3" i="3"/>
  <c r="G3" i="3"/>
  <c r="O3" i="3" s="1"/>
  <c r="L2" i="3"/>
  <c r="G2" i="3"/>
  <c r="H85" i="2"/>
  <c r="H80" i="2"/>
  <c r="F80" i="2"/>
  <c r="H79" i="2"/>
  <c r="F79" i="2"/>
  <c r="B13" i="1" s="1"/>
  <c r="H78" i="2"/>
  <c r="F78" i="2"/>
  <c r="H77" i="2"/>
  <c r="F77" i="2"/>
  <c r="H76" i="2"/>
  <c r="F76" i="2"/>
  <c r="H75" i="2"/>
  <c r="F75" i="2"/>
  <c r="H74" i="2"/>
  <c r="F74" i="2"/>
  <c r="H73" i="2"/>
  <c r="F73" i="2"/>
  <c r="H72" i="2"/>
  <c r="F72" i="2"/>
  <c r="H71" i="2"/>
  <c r="F71" i="2"/>
  <c r="B12" i="1" s="1"/>
  <c r="H70" i="2"/>
  <c r="F70" i="2"/>
  <c r="H69" i="2"/>
  <c r="F69" i="2"/>
  <c r="H68" i="2"/>
  <c r="F68" i="2"/>
  <c r="H67" i="2"/>
  <c r="F67" i="2"/>
  <c r="B11" i="1" s="1"/>
  <c r="H66" i="2"/>
  <c r="F66" i="2"/>
  <c r="H65" i="2"/>
  <c r="C11" i="1" s="1"/>
  <c r="F65" i="2"/>
  <c r="H64" i="2"/>
  <c r="F64" i="2"/>
  <c r="H63" i="2"/>
  <c r="F63" i="2"/>
  <c r="H62" i="2"/>
  <c r="F62" i="2"/>
  <c r="H61" i="2"/>
  <c r="F61" i="2"/>
  <c r="H60" i="2"/>
  <c r="F60" i="2"/>
  <c r="H59" i="2"/>
  <c r="F59" i="2"/>
  <c r="H58" i="2"/>
  <c r="F58" i="2"/>
  <c r="H57" i="2"/>
  <c r="F57" i="2"/>
  <c r="H56" i="2"/>
  <c r="F56" i="2"/>
  <c r="H55" i="2"/>
  <c r="F55" i="2"/>
  <c r="H54" i="2"/>
  <c r="F54" i="2"/>
  <c r="H53" i="2"/>
  <c r="F53" i="2"/>
  <c r="H52" i="2"/>
  <c r="F52" i="2"/>
  <c r="H51" i="2"/>
  <c r="F51" i="2"/>
  <c r="H50" i="2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C17" i="1" s="1"/>
  <c r="F38" i="2"/>
  <c r="H37" i="2"/>
  <c r="F37" i="2"/>
  <c r="B17" i="1" s="1"/>
  <c r="H36" i="2"/>
  <c r="F36" i="2"/>
  <c r="H35" i="2"/>
  <c r="F35" i="2"/>
  <c r="H34" i="2"/>
  <c r="F34" i="2"/>
  <c r="H33" i="2"/>
  <c r="F33" i="2"/>
  <c r="H32" i="2"/>
  <c r="F32" i="2"/>
  <c r="H31" i="2"/>
  <c r="F31" i="2"/>
  <c r="B9" i="1" s="1"/>
  <c r="H30" i="2"/>
  <c r="F30" i="2"/>
  <c r="H29" i="2"/>
  <c r="F29" i="2"/>
  <c r="H28" i="2"/>
  <c r="F28" i="2"/>
  <c r="H27" i="2"/>
  <c r="F27" i="2"/>
  <c r="H26" i="2"/>
  <c r="C8" i="1" s="1"/>
  <c r="F26" i="2"/>
  <c r="H25" i="2"/>
  <c r="F25" i="2"/>
  <c r="B8" i="1" s="1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C6" i="1" s="1"/>
  <c r="F7" i="2"/>
  <c r="B6" i="1" s="1"/>
  <c r="H6" i="2"/>
  <c r="F6" i="2"/>
  <c r="H5" i="2"/>
  <c r="F5" i="2"/>
  <c r="H4" i="2"/>
  <c r="F4" i="2"/>
  <c r="H3" i="2"/>
  <c r="F3" i="2"/>
  <c r="H2" i="2"/>
  <c r="F2" i="2"/>
  <c r="C13" i="1"/>
  <c r="C12" i="1"/>
  <c r="C10" i="1"/>
  <c r="C9" i="1"/>
  <c r="C7" i="1"/>
  <c r="B7" i="1"/>
  <c r="C5" i="1"/>
  <c r="B5" i="1"/>
  <c r="O5" i="3" l="1"/>
  <c r="O11" i="3"/>
  <c r="O17" i="3"/>
  <c r="O23" i="3"/>
  <c r="F82" i="2"/>
  <c r="F83" i="2" s="1"/>
  <c r="H82" i="2"/>
  <c r="O2" i="3"/>
  <c r="O8" i="3"/>
  <c r="O14" i="3"/>
  <c r="O20" i="3"/>
  <c r="O26" i="3"/>
  <c r="H84" i="2"/>
  <c r="H83" i="2"/>
  <c r="C14" i="1" s="1"/>
  <c r="B10" i="1"/>
  <c r="F84" i="2" l="1"/>
  <c r="B14" i="1" s="1"/>
  <c r="H86" i="2"/>
  <c r="F86" i="2"/>
  <c r="B15" i="1" l="1"/>
  <c r="B18" i="1" s="1"/>
  <c r="F87" i="2"/>
  <c r="F88" i="2"/>
  <c r="B16" i="1" s="1"/>
  <c r="B2" i="5"/>
  <c r="H88" i="2"/>
  <c r="C16" i="1" s="1"/>
  <c r="H87" i="2"/>
  <c r="C15" i="1"/>
  <c r="C18" i="1" s="1"/>
  <c r="B4" i="5" l="1"/>
  <c r="B11" i="5" s="1"/>
  <c r="B13" i="5" s="1"/>
  <c r="B15" i="5"/>
</calcChain>
</file>

<file path=xl/sharedStrings.xml><?xml version="1.0" encoding="utf-8"?>
<sst xmlns="http://schemas.openxmlformats.org/spreadsheetml/2006/main" count="1348" uniqueCount="676">
  <si>
    <t>AquaSentinel R3: costed bill of materials (23 Oct 2026)</t>
  </si>
  <si>
    <t>Every price is ex-GST unless the row says otherwise. Basis and source for every line are on the Costed BOM sheet.</t>
  </si>
  <si>
    <t>Subsystem</t>
  </si>
  <si>
    <t>Prototype (1 unit)</t>
  </si>
  <si>
    <t>At 100 units</t>
  </si>
  <si>
    <t>Sensors</t>
  </si>
  <si>
    <t>Electronics</t>
  </si>
  <si>
    <t>Power</t>
  </si>
  <si>
    <t>Actuators</t>
  </si>
  <si>
    <t>Sampler</t>
  </si>
  <si>
    <t>Fabricated parts</t>
  </si>
  <si>
    <t>Bought mechanical</t>
  </si>
  <si>
    <t>Fasteners</t>
  </si>
  <si>
    <t>Assembly &amp; test</t>
  </si>
  <si>
    <t>Freight and tooling (contingency is in the pilot budget)</t>
  </si>
  <si>
    <t>Float + bridge kit, ex-GST</t>
  </si>
  <si>
    <t>Cash cost incl. 18 % GST</t>
  </si>
  <si>
    <t xml:space="preserve">   of which the bridge mount kit (once per site)</t>
  </si>
  <si>
    <t xml:space="preserve">   of which the float</t>
  </si>
  <si>
    <t>Value engineering, 23 Oct 2026 (design changes to confirm in CAD)</t>
  </si>
  <si>
    <t>Saving, prototype</t>
  </si>
  <si>
    <t>Saving at 100</t>
  </si>
  <si>
    <t>AS3-101 Pier bracket (weldment) - upper and lower identical</t>
  </si>
  <si>
    <t>AS3-102 Pole clamp cap</t>
  </si>
  <si>
    <t>AS3-113 Stop collar: bought 2-inch stainless clamp collar</t>
  </si>
  <si>
    <t>AS3-301 Guide carriage - fixed half (weldment)</t>
  </si>
  <si>
    <t>AS3-302 Guide carriage - opening gate (weldment)</t>
  </si>
  <si>
    <t>Contingency counted once (now only in the pilot budget), and freight on the cut parts</t>
  </si>
  <si>
    <t>Before these changes: float + mount together, prototype</t>
  </si>
  <si>
    <t>Part count (verified from mechanical/cad/BOM_R3.csv)</t>
  </si>
  <si>
    <t>Unique part numbers</t>
  </si>
  <si>
    <t>Physical pieces</t>
  </si>
  <si>
    <t>Fabricated parts (part numbers)</t>
  </si>
  <si>
    <t>Bought-in parts</t>
  </si>
  <si>
    <t>Fastener types (51 pieces)</t>
  </si>
  <si>
    <t>Harness sets</t>
  </si>
  <si>
    <t>SOLIDWORKS files in the Pack and Go (66 parts + 1 assembly)</t>
  </si>
  <si>
    <t>Previous team cost sheet (v2 layout, mixed GST)</t>
  </si>
  <si>
    <t>sum of its lines</t>
  </si>
  <si>
    <t>Previous sheet's own 'at 100 units' column</t>
  </si>
  <si>
    <t>$943.50 TOTAL row x ₹96</t>
  </si>
  <si>
    <t>Group</t>
  </si>
  <si>
    <t>Part no.</t>
  </si>
  <si>
    <t>Item</t>
  </si>
  <si>
    <t>Qty</t>
  </si>
  <si>
    <t>Unit cost, prototype (₹ ex-GST)</t>
  </si>
  <si>
    <t>Extended, prototype</t>
  </si>
  <si>
    <t>Unit cost at 100 units</t>
  </si>
  <si>
    <t>Extended at 100 units</t>
  </si>
  <si>
    <t>Basis</t>
  </si>
  <si>
    <t>Source id</t>
  </si>
  <si>
    <t>How the price was found</t>
  </si>
  <si>
    <t>Float or site kit</t>
  </si>
  <si>
    <t>AS3-420</t>
  </si>
  <si>
    <t>pH probe, DFRobot SEN0708 (RS485, IP68)</t>
  </si>
  <si>
    <t>LISTED</t>
  </si>
  <si>
    <t>S1, S4, S5</t>
  </si>
  <si>
    <t>$129 x Rs 96/$ (Evelta's own INR pricing)</t>
  </si>
  <si>
    <t>ASSUMPTION: 15 % volume / direct-import discount</t>
  </si>
  <si>
    <t>Float</t>
  </si>
  <si>
    <t>EC probe K=10, DFRobot SEN0707 (RS485, IP68)</t>
  </si>
  <si>
    <t>S2, S4, S5</t>
  </si>
  <si>
    <t>$159 x Rs 96/$ (Evelta's own INR pricing)</t>
  </si>
  <si>
    <t>Optical DO probe, DFRobot SEN0680 (RS485, IP68)</t>
  </si>
  <si>
    <t>$199 x Rs 96/$ (Evelta's own INR pricing)</t>
  </si>
  <si>
    <t>Turbidity probe 0-1000 NTU, DFRobot SEN0710 (RS485)</t>
  </si>
  <si>
    <t>S3, S4, S5</t>
  </si>
  <si>
    <t>$229 x Rs 96/$ (Evelta's own INR pricing)</t>
  </si>
  <si>
    <t>AS3-712</t>
  </si>
  <si>
    <t>River-level sensor JSN-SR04T (waterproof ultrasonic)</t>
  </si>
  <si>
    <t>S7</t>
  </si>
  <si>
    <t>AS3-515</t>
  </si>
  <si>
    <t>ESP32-WROOM-32E (DevKitC for the prototype)</t>
  </si>
  <si>
    <t>S8</t>
  </si>
  <si>
    <t>ASSUMPTION: bare WROOM-32E module on our own board</t>
  </si>
  <si>
    <t>LTE Cat-1 modem SIMCom A7670C (on carrier board)</t>
  </si>
  <si>
    <t>S9</t>
  </si>
  <si>
    <t>carrier with regulator</t>
  </si>
  <si>
    <t>LISTED S9: bare A7670C-LNNV module</t>
  </si>
  <si>
    <t>RS485 transceiver MAX3485</t>
  </si>
  <si>
    <t>S19</t>
  </si>
  <si>
    <t>genuine IC, Evelta</t>
  </si>
  <si>
    <t>Real-time clock DS3231 module</t>
  </si>
  <si>
    <t>Power monitor INA226 module</t>
  </si>
  <si>
    <t>PWM driver PCA9685 module (beacon, wiper, valve)</t>
  </si>
  <si>
    <t>ASSUMPTION</t>
  </si>
  <si>
    <t>no Indian listing found</t>
  </si>
  <si>
    <t>microSD socket + 16 GB industrial card</t>
  </si>
  <si>
    <t>Buck converters 3.3 V / 4.0 V / 5 V</t>
  </si>
  <si>
    <t>LM2596/MP1584 class modules</t>
  </si>
  <si>
    <t>MOSFET load switches, TVS, fuse, connectors, passives</t>
  </si>
  <si>
    <t>Carrier PCB, 2-layer (5 boards incl. shipping)</t>
  </si>
  <si>
    <t>DERIVED</t>
  </si>
  <si>
    <t>S21</t>
  </si>
  <si>
    <t>$2 boards + about $20 courier</t>
  </si>
  <si>
    <t>ASSUMPTION: Rs 150 board + Rs 500 SMT assembly</t>
  </si>
  <si>
    <t>AS3-511</t>
  </si>
  <si>
    <t>IP67 polycarbonate enclosure (pod body + lid)</t>
  </si>
  <si>
    <t>S18</t>
  </si>
  <si>
    <t>AS3-811</t>
  </si>
  <si>
    <t>IP68 cable glands M16</t>
  </si>
  <si>
    <t>S22</t>
  </si>
  <si>
    <t>SGD 1.00 x about Rs 70</t>
  </si>
  <si>
    <t>AS3-711</t>
  </si>
  <si>
    <t>4G LTE antenna + IP67 bulkhead pigtail</t>
  </si>
  <si>
    <t>S17</t>
  </si>
  <si>
    <t>Rs 160 antenna + Rs 400 bulkhead (assumption)</t>
  </si>
  <si>
    <t>Marine cable harness (15 m) + connectors</t>
  </si>
  <si>
    <t>AS3-514</t>
  </si>
  <si>
    <t>LiFePO4 12.8 V 6 Ah with BMS</t>
  </si>
  <si>
    <t>S10</t>
  </si>
  <si>
    <t>Rs 2,200 incl. GST</t>
  </si>
  <si>
    <t>LISTED S10: IndiaMART Rs 1,300</t>
  </si>
  <si>
    <t>AS3-521</t>
  </si>
  <si>
    <t>Solar panel 20 W, 12 V</t>
  </si>
  <si>
    <t>S11</t>
  </si>
  <si>
    <t>Rs 1,299 incl. GST</t>
  </si>
  <si>
    <t>AS3-516</t>
  </si>
  <si>
    <t>MPPT solar charger CN3791 (set to 14.4 V for LiFePO4)</t>
  </si>
  <si>
    <t>S12</t>
  </si>
  <si>
    <t>feedback divider changed for LiFePO4</t>
  </si>
  <si>
    <t>Battery fuse, holder and isolator</t>
  </si>
  <si>
    <t>AS3-606</t>
  </si>
  <si>
    <t>Peristaltic pump 12 V, 260 mL/min (Kamoer KPHM200)</t>
  </si>
  <si>
    <t>S13</t>
  </si>
  <si>
    <t>design note: 250 mL fill takes about 58 s instead of 30 s</t>
  </si>
  <si>
    <t>Solenoid valves 12 V (sample / purge-to-waste)</t>
  </si>
  <si>
    <t>S14</t>
  </si>
  <si>
    <t>two 2-way valves replace one 3-way pinch valve</t>
  </si>
  <si>
    <t>AS3-603</t>
  </si>
  <si>
    <t>Carousel drive: N20 12 V gear motor</t>
  </si>
  <si>
    <t>S20</t>
  </si>
  <si>
    <t>Carousel index sensor (optical slot) + bearing</t>
  </si>
  <si>
    <t>AS3-411</t>
  </si>
  <si>
    <t>Wiper servo, metal gear, waterproof (RDS3218)</t>
  </si>
  <si>
    <t>S15</t>
  </si>
  <si>
    <t>IP66; sealed inside the IP68 cartridge cap</t>
  </si>
  <si>
    <t>AS3-703</t>
  </si>
  <si>
    <t>Beacon: 12 V waterproof LED strobes, green + red</t>
  </si>
  <si>
    <t>S16</t>
  </si>
  <si>
    <t>AS3-604</t>
  </si>
  <si>
    <t>Sample bottles, 250 mL HDPE wide mouth</t>
  </si>
  <si>
    <t>S23</t>
  </si>
  <si>
    <t>Tarsons, mid of Rs 75-96 incl. GST</t>
  </si>
  <si>
    <t>AS3-605</t>
  </si>
  <si>
    <t>Septum caps</t>
  </si>
  <si>
    <t>AS3-812</t>
  </si>
  <si>
    <t>Food-grade tubing (intake, purge)</t>
  </si>
  <si>
    <t>Rs per metre</t>
  </si>
  <si>
    <t>AS3-601</t>
  </si>
  <si>
    <t>Insulated sampler cassette + lid (bought cool box, modified)</t>
  </si>
  <si>
    <t>AS3-101</t>
  </si>
  <si>
    <t>Pier bracket (weldment) - upper and lower identical</t>
  </si>
  <si>
    <t>S25, S29-S32</t>
  </si>
  <si>
    <t>6.35 kg x 1.3 x Rs 315/kg + labour + finish; laser-cut 6 mm 316L, TIG welded (VE: was 10/12 mm)</t>
  </si>
  <si>
    <t>bulk material -5 %, labour -40 % (assumption)</t>
  </si>
  <si>
    <t>Site kit</t>
  </si>
  <si>
    <t>AS3-102</t>
  </si>
  <si>
    <t>Pole clamp cap</t>
  </si>
  <si>
    <t>1.20 kg x 1.3 x Rs 315/kg + labour + finish; laser-cut 316L strap clamp (VE: was machined from bar)</t>
  </si>
  <si>
    <t>AS3-103</t>
  </si>
  <si>
    <t>Stage target plate</t>
  </si>
  <si>
    <t>0.46 kg x 1.3 x Rs 315/kg + labour + finish; welded to the clamp cap</t>
  </si>
  <si>
    <t>AS3-111</t>
  </si>
  <si>
    <t>Guide pole 2in Sch 40S SS316L</t>
  </si>
  <si>
    <t>S24, S29-S32</t>
  </si>
  <si>
    <t>16.41 kg x 1.05 x Rs 438/kg + labour + finish; 2 in Sch 40S 316L, cut and deburred</t>
  </si>
  <si>
    <t>AS3-211</t>
  </si>
  <si>
    <t>Crossbeam SHS 40x40x3</t>
  </si>
  <si>
    <t>S26, S29-S32</t>
  </si>
  <si>
    <t>0.87 kg x 1.1 x Rs 375/kg + labour + finish; saw-cut, drilled SHS</t>
  </si>
  <si>
    <t>AS3-213</t>
  </si>
  <si>
    <t>Equipment deck plate</t>
  </si>
  <si>
    <t>1.99 kg x 1.3 x Rs 375/kg + labour + finish; laser-cut tread plate</t>
  </si>
  <si>
    <t>AS3-301</t>
  </si>
  <si>
    <t>Guide carriage - fixed half (weldment)</t>
  </si>
  <si>
    <t>2.81 kg x 1.4 x Rs 375/kg + labour + finish; laser-cut, TIG-welded carriage (VE: standard anodising)</t>
  </si>
  <si>
    <t>AS3-302</t>
  </si>
  <si>
    <t>Guide carriage - opening gate (weldment)</t>
  </si>
  <si>
    <t>1.91 kg x 1.4 x Rs 375/kg + labour + finish; carriage gate (VE: standard anodising)</t>
  </si>
  <si>
    <t>AS3-311</t>
  </si>
  <si>
    <t>Concave guide roller UHMW-PE</t>
  </si>
  <si>
    <t>S33, S29-S32</t>
  </si>
  <si>
    <t>0.06 kg x 2.5 x Rs 380/kg + labour + finish; CNC-turned concave roller</t>
  </si>
  <si>
    <t>AS3-313</t>
  </si>
  <si>
    <t>Gate hinge pin D10</t>
  </si>
  <si>
    <t>0.19 kg x 2.0 x Rs 438/kg + labour + finish; hinge pin</t>
  </si>
  <si>
    <t>AS3-314</t>
  </si>
  <si>
    <t>T-handle latch pin (tool-free)</t>
  </si>
  <si>
    <t>0.07 kg x 1.5 x Rs 438/kg + labour + finish; T-handle latch pin</t>
  </si>
  <si>
    <t>AS3-321</t>
  </si>
  <si>
    <t>Carriage brace struts (pair)</t>
  </si>
  <si>
    <t>0.85 kg x 1.2 x Rs 438/kg + labour + finish; 316L tube struts</t>
  </si>
  <si>
    <t>AS3-402</t>
  </si>
  <si>
    <t>Hatch flange ring (quarter-turn seat)</t>
  </si>
  <si>
    <t>0.39 kg x 1.5 x Rs 315/kg + labour + finish; laser-cut hatch ring</t>
  </si>
  <si>
    <t>AS3-403</t>
  </si>
  <si>
    <t>Sensor guard cage</t>
  </si>
  <si>
    <t>1.82 kg x 1.2 x Rs 438/kg + labour + finish; rod cage, TIG welded</t>
  </si>
  <si>
    <t>AS3-404</t>
  </si>
  <si>
    <t>V debris deflector</t>
  </si>
  <si>
    <t>0.72 kg x 1.2 x Rs 295/kg + labour + finish; heat-bent PE sheet</t>
  </si>
  <si>
    <t>Cartridge cap + wiper drive housing</t>
  </si>
  <si>
    <t>0.75 kg x 2.5 x Rs 365/kg + labour + finish; machined acetal cap</t>
  </si>
  <si>
    <t>AS3-412</t>
  </si>
  <si>
    <t>Cartridge lift handle</t>
  </si>
  <si>
    <t>0.15 kg x 1.3 x Rs 438/kg + labour + finish; bent tube handle</t>
  </si>
  <si>
    <t>AS3-413</t>
  </si>
  <si>
    <t>Cartridge spine + wiper shaft</t>
  </si>
  <si>
    <t>0.84 kg x 1.2 x Rs 438/kg + labour + finish; spine + wiper shaft</t>
  </si>
  <si>
    <t>AS3-414</t>
  </si>
  <si>
    <t>Probe holder spiders (x2)</t>
  </si>
  <si>
    <t>0.12 kg x 3.0 x Rs 365/kg + labour + finish; probe spiders</t>
  </si>
  <si>
    <t>AS3-415</t>
  </si>
  <si>
    <t>Optical wiper arm + brush pads</t>
  </si>
  <si>
    <t>0.12 kg x 1.5 x Rs 438/kg + labour + finish; wiper arm + brush pads (Rs 100, assumption)</t>
  </si>
  <si>
    <t>AS3-417</t>
  </si>
  <si>
    <t>Sampler intake strainer + riser</t>
  </si>
  <si>
    <t>0.15 kg x 1.5 x Rs 438/kg + labour + finish; strainer + riser (mesh Rs 200, assumption)</t>
  </si>
  <si>
    <t>AS3-501</t>
  </si>
  <si>
    <t>Pod mounting rails (pair)</t>
  </si>
  <si>
    <t>0.45 kg x 1.2 x Rs 375/kg + labour + finish; angle rails</t>
  </si>
  <si>
    <t>AS3-513</t>
  </si>
  <si>
    <t>Pod mounting plate</t>
  </si>
  <si>
    <t>0.36 kg x 1.3 x Rs 375/kg + labour + finish; pod plate</t>
  </si>
  <si>
    <t>AS3-523</t>
  </si>
  <si>
    <t>Canopy stanchions + hinge / pin blocks</t>
  </si>
  <si>
    <t>0.51 kg x 1.2 x Rs 375/kg + labour + finish; canopy stanchions</t>
  </si>
  <si>
    <t>Bottle carousel (lift-out cassette)</t>
  </si>
  <si>
    <t>0.20 kg x 3.0 x Rs 365/kg + labour + finish; bottle carousel</t>
  </si>
  <si>
    <t>AS3-701</t>
  </si>
  <si>
    <t>Beacon mast</t>
  </si>
  <si>
    <t>0.37 kg x 1.2 x Rs 375/kg + labour + finish; beacon mast</t>
  </si>
  <si>
    <t>AS3-801</t>
  </si>
  <si>
    <t>Grab handle (two-person carry)</t>
  </si>
  <si>
    <t>0.23 kg x 1.2 x Rs 438/kg + labour + finish; grab handle</t>
  </si>
  <si>
    <t>AS3-201</t>
  </si>
  <si>
    <t>Pontoon hull, foam filled (prototype: welded PE sheet; production: rotomoulded LLDPE)</t>
  </si>
  <si>
    <t>S27, S33, S34</t>
  </si>
  <si>
    <t>shell 5.06 kg + foam 1.76 kg; prototype 8 h welding</t>
  </si>
  <si>
    <t>rotomoulded: LLDPE Rs 118/kg + Rs 80/kg conversion (assumption)</t>
  </si>
  <si>
    <t>AS3-113</t>
  </si>
  <si>
    <t>Stop collar: bought 2-inch stainless clamp collar</t>
  </si>
  <si>
    <t>value-engineered: was machined from 316 bar</t>
  </si>
  <si>
    <t>assumption</t>
  </si>
  <si>
    <t>AS3-401</t>
  </si>
  <si>
    <t>Sensor-well sleeve, PE100 D160 pipe (1 m bought)</t>
  </si>
  <si>
    <t>S35</t>
  </si>
  <si>
    <t>AS3-112</t>
  </si>
  <si>
    <t>Pole top cap (POM)</t>
  </si>
  <si>
    <t>AS3-114</t>
  </si>
  <si>
    <t>Stop buffer ring, EPDM</t>
  </si>
  <si>
    <t>AS3-202</t>
  </si>
  <si>
    <t>Bow bumper pad, EPDM</t>
  </si>
  <si>
    <t>AS3-203</t>
  </si>
  <si>
    <t>Hull vent / test plug</t>
  </si>
  <si>
    <t>AS3-212</t>
  </si>
  <si>
    <t>Beam end cap</t>
  </si>
  <si>
    <t>AS3-421</t>
  </si>
  <si>
    <t>Probe ID bands (4 colours)</t>
  </si>
  <si>
    <t>AS3-901</t>
  </si>
  <si>
    <t>Bolt M8 x 60 A4 + washer</t>
  </si>
  <si>
    <t>Indian A4 fastener prices are 'on request'; IndiaMART chemical studs M8 Rs 26, M16 Rs 200</t>
  </si>
  <si>
    <t>AS3-902</t>
  </si>
  <si>
    <t>Bolt M10 x 70 A4 + washer</t>
  </si>
  <si>
    <t>AS3-903</t>
  </si>
  <si>
    <t>Screw M6 x 25 A4</t>
  </si>
  <si>
    <t>AS3-905</t>
  </si>
  <si>
    <t>Bolt M10 x 40 A4 + washer</t>
  </si>
  <si>
    <t>AS3-312</t>
  </si>
  <si>
    <t>Roller axle M10 shoulder bolt + nyloc</t>
  </si>
  <si>
    <t>AS3-802</t>
  </si>
  <si>
    <t>Lifting eye bolt M12 DIN 580</t>
  </si>
  <si>
    <t>AS3-904</t>
  </si>
  <si>
    <t>Chemical anchor stud M12 x 130 A4</t>
  </si>
  <si>
    <t>Injection mortar cartridge</t>
  </si>
  <si>
    <t>Assembly and wiring (2 people)</t>
  </si>
  <si>
    <t>S30</t>
  </si>
  <si>
    <t>hours x Rs 300/h</t>
  </si>
  <si>
    <t>10 h with jigs and a routine (assumption)</t>
  </si>
  <si>
    <t>Leak test, 48 h soak, calibration (pH buffers, EC 1413 uS/cm)</t>
  </si>
  <si>
    <t>Direct cost</t>
  </si>
  <si>
    <t>Freight and packaging (3 %)</t>
  </si>
  <si>
    <t>Contingency: kept once, in the pilot budget, not in the unit cost</t>
  </si>
  <si>
    <t>Tooling: rotomould + jigs over 100 units</t>
  </si>
  <si>
    <t>Cost per float + bridge kit, ex-GST</t>
  </si>
  <si>
    <t>GST 18 % (recoverable by a registered business)</t>
  </si>
  <si>
    <t>Cash cost incl. GST</t>
  </si>
  <si>
    <t>Part</t>
  </si>
  <si>
    <t>CAD mass each (kg)</t>
  </si>
  <si>
    <t>Material rate (₹/kg)</t>
  </si>
  <si>
    <t>Buy factor</t>
  </si>
  <si>
    <t>Material (₹)</t>
  </si>
  <si>
    <t>Laser cut (m)</t>
  </si>
  <si>
    <t>TIG (h)</t>
  </si>
  <si>
    <t>CNC (h)</t>
  </si>
  <si>
    <t>Fitting (h)</t>
  </si>
  <si>
    <t>Labour (₹)</t>
  </si>
  <si>
    <t>Finish (₹)</t>
  </si>
  <si>
    <t>Bought extras (₹)</t>
  </si>
  <si>
    <t>Unit cost (₹)</t>
  </si>
  <si>
    <t>Process</t>
  </si>
  <si>
    <t>laser-cut 6 mm 316L, TIG welded (VE: was 10/12 mm)</t>
  </si>
  <si>
    <t>laser-cut 316L strap clamp (VE: was machined from bar)</t>
  </si>
  <si>
    <t>welded to the clamp cap</t>
  </si>
  <si>
    <t>2 in Sch 40S 316L, cut and deburred</t>
  </si>
  <si>
    <t>saw-cut, drilled SHS</t>
  </si>
  <si>
    <t>laser-cut tread plate</t>
  </si>
  <si>
    <t>laser-cut, TIG-welded carriage (VE: standard anodising)</t>
  </si>
  <si>
    <t>carriage gate (VE: standard anodising)</t>
  </si>
  <si>
    <t>CNC-turned concave roller</t>
  </si>
  <si>
    <t>hinge pin</t>
  </si>
  <si>
    <t>T-handle latch pin</t>
  </si>
  <si>
    <t>316L tube struts</t>
  </si>
  <si>
    <t>laser-cut hatch ring</t>
  </si>
  <si>
    <t>rod cage, TIG welded</t>
  </si>
  <si>
    <t>heat-bent PE sheet</t>
  </si>
  <si>
    <t>machined acetal cap</t>
  </si>
  <si>
    <t>bent tube handle</t>
  </si>
  <si>
    <t>spine + wiper shaft</t>
  </si>
  <si>
    <t>probe spiders</t>
  </si>
  <si>
    <t>wiper arm + brush pads (Rs 100, assumption)</t>
  </si>
  <si>
    <t>strainer + riser (mesh Rs 200, assumption)</t>
  </si>
  <si>
    <t>angle rails</t>
  </si>
  <si>
    <t>pod plate</t>
  </si>
  <si>
    <t>canopy stanchions</t>
  </si>
  <si>
    <t>bottle carousel</t>
  </si>
  <si>
    <t>beacon mast</t>
  </si>
  <si>
    <t>grab handle</t>
  </si>
  <si>
    <t>Labour rates: laser cutting ₹500/m (S29), TIG ₹700/h (S30), CNC ₹450/h (S31), fitting ₹300/h (S30). Finish: passivation ₹40/kg (assumption); anodising ₹150/sq ft, hard anodising ₹216/sq ft (S32), area from mass, density and wall thickness. Buy factor covers offcuts and machining stock.</t>
  </si>
  <si>
    <t>Description (BOM_R3.csv)</t>
  </si>
  <si>
    <t>Type</t>
  </si>
  <si>
    <t>Material</t>
  </si>
  <si>
    <t>Costed as</t>
  </si>
  <si>
    <t>part</t>
  </si>
  <si>
    <t>Stainless steel 316L</t>
  </si>
  <si>
    <t>Laser-cut 316L 10/12 mm, TIG welded, passivated; 4x M12 chemical anchors</t>
  </si>
  <si>
    <t>Machined 316L</t>
  </si>
  <si>
    <t>4 mm 316L welded to the upper clamp cap</t>
  </si>
  <si>
    <t>ASTM A312 TP316L pipe, cut to length, ends deburred</t>
  </si>
  <si>
    <t>Pole top cap</t>
  </si>
  <si>
    <t>purchased</t>
  </si>
  <si>
    <t>Acetal (POM) black</t>
  </si>
  <si>
    <t>Stop collar (split, clamp-on)</t>
  </si>
  <si>
    <t>Machined 316L, M8 clamp screw</t>
  </si>
  <si>
    <t>Stop buffer ring (EPDM)</t>
  </si>
  <si>
    <t>EPDM</t>
  </si>
  <si>
    <t>Moulded EPDM 70 ShA</t>
  </si>
  <si>
    <t>Pontoon hull (rotomoulded, foam filled)</t>
  </si>
  <si>
    <t>Rotomoulded PE, RAL 1003 signal yellow</t>
  </si>
  <si>
    <t>Rotomoulded PE, one mould for both hulls; PU foam fill; moulded-in M8 inserts</t>
  </si>
  <si>
    <t>Bow bumper pad</t>
  </si>
  <si>
    <t>Moulded EPDM, bonded</t>
  </si>
  <si>
    <t>Purchased PE threaded plug</t>
  </si>
  <si>
    <t>Aluminium 6061-T6, anodised</t>
  </si>
  <si>
    <t>Saw-cut 6061-T6 SHS, drilled for M8</t>
  </si>
  <si>
    <t>Purchased PE plug</t>
  </si>
  <si>
    <t>Laser-cut 3 mm 6061 tread plate</t>
  </si>
  <si>
    <t>Laser-cut 6061 plate 5/6 mm, TIG welded, hard anodised; nylon isolation at 316 axles</t>
  </si>
  <si>
    <t>Laser-cut 6061 plate, TIG welded, hard anodised</t>
  </si>
  <si>
    <t>UHMW-PE</t>
  </si>
  <si>
    <t>CNC-turned UHMW-PE; throat profile = pole radius + 1.5 mm</t>
  </si>
  <si>
    <t>Roller axle M10 + nyloc nuts</t>
  </si>
  <si>
    <t>fastener</t>
  </si>
  <si>
    <t>Stainless steel 316 (brushed)</t>
  </si>
  <si>
    <t>316 shoulder bolt, nylon isolation washers</t>
  </si>
  <si>
    <t>316 bar + R-clip</t>
  </si>
  <si>
    <t>316 bar + welded T-bar, lanyard eye</t>
  </si>
  <si>
    <t>316L tube 20 x 2, flattened ends, bolted through deck into crossbeam 2</t>
  </si>
  <si>
    <t>Sensor well sleeve PE100 D160 SDR26</t>
  </si>
  <si>
    <t>PE100 black</t>
  </si>
  <si>
    <t>Cut PE100 pressure pipe</t>
  </si>
  <si>
    <t>Laser-cut 6 mm 316L ring, 6x M6 into deck</t>
  </si>
  <si>
    <t>316L rod D6 + laser-cut rings, TIG welded; screwed to the sleeve</t>
  </si>
  <si>
    <t>8 mm HDPE sheet, heat-bent V, bolted under crossbeam 1</t>
  </si>
  <si>
    <t>Machined acetal; IP68 servo housing; 4x M16 cable glands</t>
  </si>
  <si>
    <t>Wiper servo, metal gear, waterproof (RDS3218); Cartridge cap + wiper drive housing</t>
  </si>
  <si>
    <t>316 tube 16 x 1.5 bent</t>
  </si>
  <si>
    <t>316L tube 25 x 1.5 + 316 shaft D8</t>
  </si>
  <si>
    <t>Machined acetal, split collars</t>
  </si>
  <si>
    <t>316L flat bar 14 x 5 + nylon brush pads</t>
  </si>
  <si>
    <t>AS3-416</t>
  </si>
  <si>
    <t>Probe cables (in-well run)</t>
  </si>
  <si>
    <t>harness</t>
  </si>
  <si>
    <t>Marine cable</t>
  </si>
  <si>
    <t>Supplied with probes (mass counted with the probes)</t>
  </si>
  <si>
    <t>probe cables are supplied with the DFRobot probes (5 m each)</t>
  </si>
  <si>
    <t>316 mesh strainer + 10 mm tube + quick-connect</t>
  </si>
  <si>
    <t>Probe body (envelope)</t>
  </si>
  <si>
    <t>Purchased; D32 x 300 envelope - replace with the supplier STEP</t>
  </si>
  <si>
    <t>pH probe, DFRobot SEN0708 (RS485, IP68); EC probe K=10, DFRobot SEN0707 (RS485, IP68); Optical DO probe, DFRobot SEN0680 (RS485, IP68); Turbidity probe 0-1000 NTU, DFRobot SEN0710 (RS485)</t>
  </si>
  <si>
    <t>ID band - pH probe</t>
  </si>
  <si>
    <t>pH ID band (blue)</t>
  </si>
  <si>
    <t>Colour-keyed PE sleeve</t>
  </si>
  <si>
    <t>AS3-422</t>
  </si>
  <si>
    <t>ID band - EC probe</t>
  </si>
  <si>
    <t>EC ID band (orange)</t>
  </si>
  <si>
    <t>costed with AS3-421 (four ID bands)</t>
  </si>
  <si>
    <t>AS3-423</t>
  </si>
  <si>
    <t>ID band - Optical DO</t>
  </si>
  <si>
    <t>DO ID band (green)</t>
  </si>
  <si>
    <t>AS3-424</t>
  </si>
  <si>
    <t>ID band - Turbidity probe</t>
  </si>
  <si>
    <t>Turbidity ID band (magenta)</t>
  </si>
  <si>
    <t>6061 angle 25 x 25 x 3</t>
  </si>
  <si>
    <t>Power &amp; control pod IP67 (body)</t>
  </si>
  <si>
    <t>Polycarbonate RAL 7035</t>
  </si>
  <si>
    <t>Purchased PC enclosure, machined for glands, pressure-equalising vent</t>
  </si>
  <si>
    <t>AS3-512</t>
  </si>
  <si>
    <t>Pod lid (hinged)</t>
  </si>
  <si>
    <t>Polycarbonate dark grey</t>
  </si>
  <si>
    <t>Supplied with the enclosure; EPDM gasket</t>
  </si>
  <si>
    <t>part of the IP67 enclosure (AS3-511)</t>
  </si>
  <si>
    <t>2 mm 5052 plate</t>
  </si>
  <si>
    <t>LiFePO4 pack</t>
  </si>
  <si>
    <t>Controller board (ESP32, RS485, RTC, microSD, LTE Cat-1)</t>
  </si>
  <si>
    <t>PCB</t>
  </si>
  <si>
    <t>ESP32-WROOM-32E (DevKitC for the prototype); LTE Cat-1 modem SIMCom A7670C (on carrier board); RS485 transceiver MAX3485; Real-time clock DS3231 module; Power monitor INA226 module; PWM driver PCA9685 module (beacon, wiper, valve); microSD socket + 16 GB industrial card; Buck converters 3.3 V / 4.0 V / 5 V; MOSFET load switches, TVS, fuse, connectors, passives; Carrier PCB, 2-layer (5 boards incl. shipping)</t>
  </si>
  <si>
    <t>MPPT charge controller</t>
  </si>
  <si>
    <t>MPPT solar charger CN3791 (set to 14.4 V for LiFePO4); Battery fuse, holder and isolator</t>
  </si>
  <si>
    <t>PV module 20 W (frame + backsheet)</t>
  </si>
  <si>
    <t>AS3-522</t>
  </si>
  <si>
    <t>PV module 20 W (cells + glass)</t>
  </si>
  <si>
    <t>Mono-Si PV cells + glass</t>
  </si>
  <si>
    <t>part of the bought 20 W panel (AS3-521)</t>
  </si>
  <si>
    <t>6061 tube 20 x 2, welded base plates; aft pair hinged, front pair quick-release pins</t>
  </si>
  <si>
    <t>Autosampler cassette (insulated body)</t>
  </si>
  <si>
    <t>PE white</t>
  </si>
  <si>
    <t>Twin-wall rotomoulded PE, PU insulated</t>
  </si>
  <si>
    <t>AS3-602</t>
  </si>
  <si>
    <t>Autosampler lid (hinged, tamper-seal hasp)</t>
  </si>
  <si>
    <t>Moulded PC, EPDM gasket</t>
  </si>
  <si>
    <t>part of the sampler cassette (AS3-601)</t>
  </si>
  <si>
    <t>Machined acetal; the whole carousel swaps out (chain of custody)</t>
  </si>
  <si>
    <t>Carousel drive: N20 12 V gear motor; Carousel index sensor (optical slot) + bearing; Bottle carousel (lift-out cassette)</t>
  </si>
  <si>
    <t>Sample bottle 250 mL HDPE (lab-supplied)</t>
  </si>
  <si>
    <t>Bottle cap (septum)</t>
  </si>
  <si>
    <t>Peristaltic pump 12 V (reversible)</t>
  </si>
  <si>
    <t>Peristaltic pump 12 V, 260 mL/min (Kamoer KPHM200); Solenoid valves 12 V (sample / purge-to-waste)</t>
  </si>
  <si>
    <t>6061 tube 32 x 2.5, welded flange</t>
  </si>
  <si>
    <t>AS3-702</t>
  </si>
  <si>
    <t>Jal-Deep beacon base</t>
  </si>
  <si>
    <t>part of the beacon (AS3-703)</t>
  </si>
  <si>
    <t>Jal-Deep 360 deg LED lens (green normal / red alert)</t>
  </si>
  <si>
    <t>PC lens (green = normal)</t>
  </si>
  <si>
    <t>LTE antenna (whip, N-type)</t>
  </si>
  <si>
    <t>Stage sensor (waterproof ultrasonic, looking up)</t>
  </si>
  <si>
    <t>316 tube 22 x 1.5 bent, welded pads, into hull inserts</t>
  </si>
  <si>
    <t>Lifting eye bolt M12 (DIN 580)</t>
  </si>
  <si>
    <t>Cable harness (probes, stage sensor, PV, beacon)</t>
  </si>
  <si>
    <t>Marine cable, IP68 glands, drip loops</t>
  </si>
  <si>
    <t>IP68 cable glands M16; Marine cable harness (15 m) + connectors</t>
  </si>
  <si>
    <t>Sampler hoses (intake + purge-to-waste)</t>
  </si>
  <si>
    <t>Clear PVC tubing</t>
  </si>
  <si>
    <t>6 mm ID food-grade tubing</t>
  </si>
  <si>
    <t>A4-70</t>
  </si>
  <si>
    <t>Chemical anchor M12 x 130 A4</t>
  </si>
  <si>
    <t>A4 threaded rod + injection mortar</t>
  </si>
  <si>
    <t>Chemical anchor stud M12 x 130 A4; Injection mortar cartridge</t>
  </si>
  <si>
    <t>Total</t>
  </si>
  <si>
    <t>34 fabricated parts, 20 bought-in, 9 fastener types, 3 harness sets. The Pack and Go has 66 part files + 1 assembly file (67 files), which is where '67' came from.</t>
  </si>
  <si>
    <t>Value</t>
  </si>
  <si>
    <t>Production cost per float + bridge kit (100 units)</t>
  </si>
  <si>
    <t>Costed BOM</t>
  </si>
  <si>
    <t>Hardware life (years)</t>
  </si>
  <si>
    <t>Hardware, per year</t>
  </si>
  <si>
    <t>Installation, per year (₹15,000 once)</t>
  </si>
  <si>
    <t>Monthly service visit x 12</t>
  </si>
  <si>
    <t>ASSUMPTION: ₹1,500 a visit, local technician</t>
  </si>
  <si>
    <t>Consumables (pH probe every ~2 years, buffers, wiper pads)</t>
  </si>
  <si>
    <t>LTE data</t>
  </si>
  <si>
    <t>ASSUMPTION: ₹200 a month M2M SIM</t>
  </si>
  <si>
    <t>Cloud dashboard and alerts</t>
  </si>
  <si>
    <t>Lab analysis, 4 event samples a year</t>
  </si>
  <si>
    <t>S36: ₹3,500 a sample package</t>
  </si>
  <si>
    <t>Cost to serve one float for a year</t>
  </si>
  <si>
    <t>Service fee per float per year</t>
  </si>
  <si>
    <t>PROPOSAL: ₹12,000 a month, 3-year contract</t>
  </si>
  <si>
    <t>Gross margin, service</t>
  </si>
  <si>
    <t>Outright price per float, installed</t>
  </si>
  <si>
    <t>PROPOSAL</t>
  </si>
  <si>
    <t>Gross margin, outright sale</t>
  </si>
  <si>
    <t>production cost + installation</t>
  </si>
  <si>
    <t>Annual maintenance contract</t>
  </si>
  <si>
    <t>PROPOSAL: 12 % of price</t>
  </si>
  <si>
    <t>Delhi real-time station, cost each</t>
  </si>
  <si>
    <t>S37: ₹22 crore for 32 stations incl. 5 years O&amp;M</t>
  </si>
  <si>
    <t>Float-years of service for one station-year</t>
  </si>
  <si>
    <t>TAM: one float per CPCB monitoring location</t>
  </si>
  <si>
    <t>S40: 4,922 locations</t>
  </si>
  <si>
    <t>TAM, ₹ a year</t>
  </si>
  <si>
    <t>SAM: 3 floats on each of India's 311 polluted stretches</t>
  </si>
  <si>
    <t>S39; 3 per stretch is an ASSUMPTION</t>
  </si>
  <si>
    <t>SAM, ₹ a year</t>
  </si>
  <si>
    <t>SOM: 3 floats on each of Maharashtra's 55 stretches</t>
  </si>
  <si>
    <t>S39</t>
  </si>
  <si>
    <t>SOM, ₹ a year</t>
  </si>
  <si>
    <t>Roll-out plan (PROPOSAL)</t>
  </si>
  <si>
    <t>Floats in service</t>
  </si>
  <si>
    <t>Recurring revenue, ₹ a year</t>
  </si>
  <si>
    <t>Year 1</t>
  </si>
  <si>
    <t>Year 2</t>
  </si>
  <si>
    <t>Year 3</t>
  </si>
  <si>
    <t>Year 4</t>
  </si>
  <si>
    <t>Year 5</t>
  </si>
  <si>
    <t>Pilot budget (the ask)</t>
  </si>
  <si>
    <t>₹</t>
  </si>
  <si>
    <t>3 floats + bridge kits at prototype cost</t>
  </si>
  <si>
    <t>Lab validation: 60 samples at Rs 3,500 (S36)</t>
  </si>
  <si>
    <t>Installation at 3 sites</t>
  </si>
  <si>
    <t>6 months of field service and data</t>
  </si>
  <si>
    <t>Contingency 10 %</t>
  </si>
  <si>
    <t>Input</t>
  </si>
  <si>
    <t>Basis / source</t>
  </si>
  <si>
    <t>Material rate: ss_pipe</t>
  </si>
  <si>
    <t>₹/kg ex-GST, see Sources</t>
  </si>
  <si>
    <t>Material rate: ss_plate</t>
  </si>
  <si>
    <t>Material rate: ss_bar</t>
  </si>
  <si>
    <t>Material rate: al</t>
  </si>
  <si>
    <t>Material rate: lldpe</t>
  </si>
  <si>
    <t>Material rate: uhmw</t>
  </si>
  <si>
    <t>Material rate: pe_sheet</t>
  </si>
  <si>
    <t>Material rate: pom</t>
  </si>
  <si>
    <t>Material rate: pu_foam</t>
  </si>
  <si>
    <t>Shop rate: laser_m</t>
  </si>
  <si>
    <t>₹ ex-GST, see Sources</t>
  </si>
  <si>
    <t>Shop rate: tig_h</t>
  </si>
  <si>
    <t>Shop rate: cnc_h</t>
  </si>
  <si>
    <t>Shop rate: fit_h</t>
  </si>
  <si>
    <t>Shop rate: anod_sqft</t>
  </si>
  <si>
    <t>Shop rate: hard_anod_sqft</t>
  </si>
  <si>
    <t>USD to INR</t>
  </si>
  <si>
    <t>GST</t>
  </si>
  <si>
    <t>Probe discount at 100 units (ASSUMPTION)</t>
  </si>
  <si>
    <t>Labour reduction with jigs at 100 units (ASSUMPTION)</t>
  </si>
  <si>
    <t>Bulk material discount at 100 units (ASSUMPTION)</t>
  </si>
  <si>
    <t>Freight and packaging (ASSUMPTION)</t>
  </si>
  <si>
    <t>Contingency, prototype (ASSUMPTION)</t>
  </si>
  <si>
    <t>Contingency, at volume (ASSUMPTION)</t>
  </si>
  <si>
    <t>Rotomould tool, both hulls (ASSUMPTION within S28 range)</t>
  </si>
  <si>
    <t>Welding and drilling jigs (ASSUMPTION)</t>
  </si>
  <si>
    <t>Rotomoulding conversion, ₹/kg (ASSUMPTION)</t>
  </si>
  <si>
    <t>Passivation, ₹/kg (ASSUMPTION)</t>
  </si>
  <si>
    <t>Production batch for the 'at scale' column</t>
  </si>
  <si>
    <t>Basis labels: LISTED = a price found in an Indian or manufacturer listing on 23 Oct 2026; DERIVED = computed from listed rates; ASSUMPTION = an engineering estimate, to be replaced by a quote. Blue numbers are inputs.</t>
  </si>
  <si>
    <t>Id</t>
  </si>
  <si>
    <t>What it says</t>
  </si>
  <si>
    <t>Link</t>
  </si>
  <si>
    <t>S1</t>
  </si>
  <si>
    <t>DFRobot store: SEN0708 RS485 pH sensor $129, SEN0680 RS485 fluorescence DO sensor $199</t>
  </si>
  <si>
    <t>https://www.dfrobot.com/search-RS485.html</t>
  </si>
  <si>
    <t>S2</t>
  </si>
  <si>
    <t>DFRobot store: SEN0707 RS485 EC sensor K=10 $159 (SEN0706 K=1 $149)</t>
  </si>
  <si>
    <t>https://www.dfrobot.com/search-conductivity.html</t>
  </si>
  <si>
    <t>S3</t>
  </si>
  <si>
    <t>DFRobot store: SEN0710 RS485 turbidity sensor 0-1000 NTU $229</t>
  </si>
  <si>
    <t>https://www.dfrobot.com/search-water%20quality%20monitor.html</t>
  </si>
  <si>
    <t>S4</t>
  </si>
  <si>
    <t>Evelta (Mumbai): DFRobot SEN0706 Rs 14,414.40 and SEN0709 Rs 17,160 ex-GST, i.e. about Rs 96-97 per USD</t>
  </si>
  <si>
    <t>https://evelta.com/sensors/liquid-sensors/</t>
  </si>
  <si>
    <t>S5</t>
  </si>
  <si>
    <t>Pluang currency page: USD/INR 96.5 (50-day average 95.2)</t>
  </si>
  <si>
    <t>https://pluang.com/en/tools/currency-converter/usd-inr</t>
  </si>
  <si>
    <t>S6</t>
  </si>
  <si>
    <t>IndiaMART: Embsys RS485 optical DO sensor Rs 40,000; RS485 turbidity sensor Rs 38,350 ex-tax (Indian alternatives cost more)</t>
  </si>
  <si>
    <t>https://m.indiamart.com/proddetail/dissolved-oxygen-sensor-with-rs485-output-for-fresh-water-26441477897.html</t>
  </si>
  <si>
    <t>Hubtronics: JSN-SR04T-2.0 waterproof ultrasonic Rs 265.25 + GST</t>
  </si>
  <si>
    <t>https://hubtronics.in/generic/jsn-sr04t-2.0-ultrasonic-sensor</t>
  </si>
  <si>
    <t>IndiaMART: Espressif ESP32-DevKitC-32E Rs 749</t>
  </si>
  <si>
    <t>https://m.indiamart.com/proddetail/espressif-esp32-devkitc-32e-esp32-wroom-32e-development-board-module-for-arduino-2851448645591.html</t>
  </si>
  <si>
    <t>IndiaMART: SIMCom A7670C LTE Cat-1 module Rs 450-900 (A7670C-LNNV Rs 489); with carrier board Rs 1,900</t>
  </si>
  <si>
    <t>https://m.indiamart.com/proddetail/simcom-a7670c-lnnv-lte-cat-1-module-2855267080891.html</t>
  </si>
  <si>
    <t>Robogears: LiFePO4 12.8 V 6 Ah with BMS Rs 2,200 incl. tax; IndiaMART 12.8 V 6 Ah Rs 660-1,300</t>
  </si>
  <si>
    <t>https://robogearsin.odoo.com/shop/10258578-lithium-ferrous-phosphate-lifepo4-battery-of-12-8v-6000mah-with-inbuilt-bms-for-12v-solar-ev-applicat-3642</t>
  </si>
  <si>
    <t>Loom Solar 20 W 12 V panel Rs 1,299 (Amazon-fulfilled listing, regular Rs 2,500)</t>
  </si>
  <si>
    <t>https://www.ysvara.com/products/loom-solar-panel-20w-12v-for-home-lighting-system-diy-projects-small-battery-charging7ah-pack-of-1-max-current-1-04-amps-max-voltage-19-25-volts-performance-warranty-25-years</t>
  </si>
  <si>
    <t>Zbotic: CN3791 12 V MPPT solar charger module Rs 207 + GST</t>
  </si>
  <si>
    <t>https://zbotic.in/product/cn3791-12v-mppt-solar-charger-module/</t>
  </si>
  <si>
    <t>Robu: Kamoer KPHM200 12 V peristaltic pump, 260 mL/min, Rs 1,877 incl. GST</t>
  </si>
  <si>
    <t>https://st.robu.in/product/kamoer-12v-0-7a-10w-260ml-min-kphm200-sw3b16-peristaltic-pump</t>
  </si>
  <si>
    <t>Robu: 12 V 1/4 in 2-way solenoid valve Rs 596 incl. GST</t>
  </si>
  <si>
    <t>https://stg.robu.in/?p=975725</t>
  </si>
  <si>
    <t>Zbotic: RDS3218 20 kg metal-gear waterproof (IP66) servo Rs 1,009 + GST</t>
  </si>
  <si>
    <t>https://zbotic.in/product/dsservo-rds3218-270-degree-high-torque-digital-steering-gear-with-long-and-short-u4-metal-parts-torque21kg/</t>
  </si>
  <si>
    <t>Probots: Promax 12 V waterproof strobe light Rs 761.86 + GST</t>
  </si>
  <si>
    <t>https://probots.co.in/promax-dc-12v-red-strobe-light-flashing-waterproof-silent.html</t>
  </si>
  <si>
    <t>Robu: 4/5 dBi 3G/4G LTE antenna, SMA, Rs 189 incl. GST</t>
  </si>
  <si>
    <t>https://aws.robu.in/product/824-960-mhz-1710-2170-mhz-5dbi-gain-dual-band-3g-4g-lte-antenna</t>
  </si>
  <si>
    <t>IndiaMART: Neubox IP67 polycarbonate enclosure 400 x 350 x 150 mm Rs 1,500</t>
  </si>
  <si>
    <t>https://m.indiamart.com/proddetail/rectangular-electrical-junction-box-24692735530.html</t>
  </si>
  <si>
    <t>Zbotic DS3231 RTC Rs 105 + GST; IndiaMART INA226 module Rs 285; Evelta MAX3485 IC Rs 325-436 ex-GST</t>
  </si>
  <si>
    <t>https://zbotic.in/product/ds3231-real-time-clock-module-3-3v-5v-precise/</t>
  </si>
  <si>
    <t>Zbotic: N20 12 V 300 rpm metal gear motor Rs 189 + GST</t>
  </si>
  <si>
    <t>https://zbotic.in/product/n20-12v-300-rpm-micro-metal-gear-motor/</t>
  </si>
  <si>
    <t>JLCPCB/PCBWay: 5 x 2-layer 100 x 100 mm boards about $2 plus shipping (Zbotic India cost guide)</t>
  </si>
  <si>
    <t>https://zbotic.in/how-to-order-pcb-from-jlcpcb-and-pcbway-india-cost-guide/</t>
  </si>
  <si>
    <t>RS Components: M16 nylon IP68 cable gland about SGD 1.00 per unit</t>
  </si>
  <si>
    <t>https://sg.rs-online.com/web/p/cable-glands/8229767</t>
  </si>
  <si>
    <t>Boffin Butler: Tarsons wide-mouth HDPE 250 mL bottles, about Rs 75-96 each incl. GST</t>
  </si>
  <si>
    <t>https://boffinbutler.com/wide-mouthbottle-hdpe-250ml.html</t>
  </si>
  <si>
    <t>S24</t>
  </si>
  <si>
    <t>IndiaMART: SS 316 seamless pipe 2 in Rs 400/kg; 316L SMLS Rs 475/kg</t>
  </si>
  <si>
    <t>https://m.indiamart.com/impcat/ss-316-seamless-pipe.html</t>
  </si>
  <si>
    <t>S25</t>
  </si>
  <si>
    <t>OfBusiness: SS 316/316L HR plate Rs 280-320/kg, CR sheet Rs 300-350/kg</t>
  </si>
  <si>
    <t>https://www.ofbusiness.com/prices/stainless-steel/316l-ss-hr</t>
  </si>
  <si>
    <t>S26</t>
  </si>
  <si>
    <t>IndiaMART: 6061-T6 aluminium plate/sheet Rs 335-415/kg</t>
  </si>
  <si>
    <t>https://m.indiamart.com/metaaerospace</t>
  </si>
  <si>
    <t>S27</t>
  </si>
  <si>
    <t>OfBusiness: LLDPE rotomoulding grade Rs 110-120/kg</t>
  </si>
  <si>
    <t>https://www.ofbusiness.com/prices/polymers-packaging/lldpe</t>
  </si>
  <si>
    <t>S28</t>
  </si>
  <si>
    <t>Aajjo/IndiaMART: rotational moulds, mid-size tank moulds Rs 50,000-72,000; 100 L aluminium lid mould Rs 15,000</t>
  </si>
  <si>
    <t>https://www.aajjo.com/product/roto-mould-die-in-ahmedabad-neelam-fabricators</t>
  </si>
  <si>
    <t>S29</t>
  </si>
  <si>
    <t>IndiaMART (Techpro, Bengaluru): SS laser cutting Rs 500 per metre</t>
  </si>
  <si>
    <t>https://m.indiamart.com/techpro-industries/cutting-service.html</t>
  </si>
  <si>
    <t>Welding cost guide (India): TIG Rs 400-1,000/h machine cost; welder Rs 150-400/h, skilled up to Rs 700/h</t>
  </si>
  <si>
    <t>https://getcostidea.com/?p=10040</t>
  </si>
  <si>
    <t>S31</t>
  </si>
  <si>
    <t>IIT Kanpur workshop rate card (May 2025) lathe Rs 400-500/h, milling Rs 450-550/h; IndiaMART CNC job work Rs 350-550/h</t>
  </si>
  <si>
    <t>https://www.iitk.ac.in/celp/data/downloadables/Workshop-Job-Card-16-05-2025.docx</t>
  </si>
  <si>
    <t>S32</t>
  </si>
  <si>
    <t>IndiaMART: hard anodising Rs 1.50/sq in (A1 Anodizers); anodising Rs 150/sq ft (ENP Techno, Thane)</t>
  </si>
  <si>
    <t>https://m.indiamart.com/a1-anodizers/anodizing-services.html</t>
  </si>
  <si>
    <t>S33</t>
  </si>
  <si>
    <t>IndiaMART: UHMW-PE rod Rs 300-460/kg, UHMW-PE 500 sheet Rs 295/kg; POM/acetal rod Rs 280-450/kg</t>
  </si>
  <si>
    <t>https://m.indiamart.com/impcat/uhmwpe-rods.html</t>
  </si>
  <si>
    <t>S34</t>
  </si>
  <si>
    <t>IndiaMART: rigid PU foam chemicals Rs 170-335/kg</t>
  </si>
  <si>
    <t>https://m.indiamart.com/impcat/polyurethane-chemical.html</t>
  </si>
  <si>
    <t>Aajjo (Ambe Plast): 160 mm PE100 PN6 pipe Rs 174/m</t>
  </si>
  <si>
    <t>https://www.aajjo.com/product/160-mm-underground-hdpe-pipes-in-ahmedabad-ambe-plast</t>
  </si>
  <si>
    <t>S36</t>
  </si>
  <si>
    <t>STIC (June 2025): STP/ETP water package incl. BOD, COD, DO, pH, TSS Rs 3,500/sample; DPCC BOD Rs 1,050, COD Rs 620</t>
  </si>
  <si>
    <t>https://sticindia.com/resources/Analysis%20Charges%20-%20from%2001-06-2025.pdf</t>
  </si>
  <si>
    <t>S37</t>
  </si>
  <si>
    <t>The Week (May 2025): Delhi DPCC 32 real-time water stations for about Rs 22 crore; Aug 2025 tender raised to 41 with 5-year O&amp;M</t>
  </si>
  <si>
    <t>https://www.theweek.in/wire-updates/national/2025/05/15/des48-dl-yamuna-water-monitring.html</t>
  </si>
  <si>
    <t>S38</t>
  </si>
  <si>
    <t>CSE: CPCB real-time station instruments Rs 35-40 lakh; Lok Sabha reply 5115: Rs 50-84 lakh per station with systems</t>
  </si>
  <si>
    <t>https://www.cseindia.org/cpcbs-real-time-water-quality-monitoring-4587</t>
  </si>
  <si>
    <t>CPCB 2022: 311 polluted river stretches on 279 rivers; Maharashtra 55, the most (Lok Sabha reply AU2546)</t>
  </si>
  <si>
    <t>https://eparlib.nic.in/bitstream/123456789/1467192/1/AU2546.pdf</t>
  </si>
  <si>
    <t>S40</t>
  </si>
  <si>
    <t>CPCB reply to NGT (OA 413 of 2025): about 4,922 monitoring locations, 2,265 on rivers, mostly manual sampling</t>
  </si>
  <si>
    <t>https://www.greentribunal.gov.in/sites/default/files/news_updates/RESPONSE%20BY%20R-5%20CPCB%20IN%20OA%20NO.%20413%20of%202025%20ABHISHT%20KUSUM%20GUPTA%20VS%20UNION%20OF%20INDIA%20AND%20ORS..pdf</t>
  </si>
  <si>
    <t>S41</t>
  </si>
  <si>
    <t>IMARC: India water analytical instruments market $150.4 M (2024), $253.4 M by 2033, 6.0 % CAGR</t>
  </si>
  <si>
    <t>https://www.imarcgroup.com/india-water-analytical-instruments-market</t>
  </si>
  <si>
    <t>S42</t>
  </si>
  <si>
    <t>MarketsandMarkets: India environmental monitoring $428.5 M (2025), $616 M by 2030, 7.5 % CAGR</t>
  </si>
  <si>
    <t>https://www.marketsandmarkets.com/Market-Reports/geography/environmental-monitoring-market/India</t>
  </si>
  <si>
    <t>S43</t>
  </si>
  <si>
    <t>YSI: EXO2 multiparameter sonde $7,090-8,770, sensors sold separately</t>
  </si>
  <si>
    <t>https://www.fondriest.com/ysi-exo2-multi-parameter-water-quality-sonde.htm</t>
  </si>
  <si>
    <t>S44</t>
  </si>
  <si>
    <t>Libelium Smart Water Xtreme: RS485/SDI-12 IP68 probes, price on request</t>
  </si>
  <si>
    <t>https://www.libelium.com/libelium-pushes-the-water-quality-market-ahead-with-its-new-smart-water-xtreme-monitoring-platform/</t>
  </si>
  <si>
    <t>S45</t>
  </si>
  <si>
    <t>Eruvaka (India): floating buoys for aquaculture ponds (DO, pH, temperature)</t>
  </si>
  <si>
    <t>https://yourstory.com/2014/01/fishing-right-waters-eruvaka-technologies</t>
  </si>
  <si>
    <t>S46</t>
  </si>
  <si>
    <t>Kisters case study: CPCB data validation for 40 real-time stations on the Ganga (2022-2027)</t>
  </si>
  <si>
    <t>https://www.kisters.eu/success-story/improving-water-quality-monitor/</t>
  </si>
  <si>
    <t>S47</t>
  </si>
  <si>
    <t>India Science &amp; Technology portal: NIDHI-PRAYAS prototype grant up to Rs 10 lakh per innovator</t>
  </si>
  <si>
    <t>https://www.indiascienceandtechnology.gov.in/hi/funding-opportunities/startups/nidhi-promoting-and-accelerating-young-and-aspiring-innovators</t>
  </si>
  <si>
    <t>S48</t>
  </si>
  <si>
    <t>IndiaMART: Modbus RS485 pH controllers Rs 8,500-12,000; RS485 conductivity sensors Rs 7,500-20,499</t>
  </si>
  <si>
    <t>https://m.indiamart.com/impcat/conductivity-sensors.html</t>
  </si>
  <si>
    <t>S49</t>
  </si>
  <si>
    <t>Previous team cost sheet (v2 layout): hardware/AquaSentinel_Cost_Estimate_BOM.csv, lines sum to Rs 1,38,000 incl. GST</t>
  </si>
  <si>
    <t>hardware/AquaSentinel_Cost_Estimate_BOM.csv</t>
  </si>
  <si>
    <t>All prices looked up on 23 Oct 2026. Listings change; confirm with a written quote before ordering.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</si>
</sst>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color rgb="FF1E2B36"/>
      <name val="Calibri"/>
    </font>
    <font>
      <sz val="18"/>
      <color rgb="FF125A88"/>
      <name val="Calibri Light"/>
    </font>
    <font>
      <i/>
      <sz val="11"/>
      <color rgb="FF5B6B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25A88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/>
    </xf>
    <xf numFmtId="164" fontId="3" fillId="3" borderId="0" xfId="0" applyNumberFormat="1" applyFont="1" applyFill="1" applyAlignment="1">
      <alignment vertical="top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 wrapText="1"/>
    </xf>
    <xf numFmtId="164" fontId="0" fillId="0" borderId="0" xfId="0" applyNumberFormat="1" applyAlignment="1">
      <alignment vertical="top"/>
    </xf>
    <xf numFmtId="0" fontId="1" fillId="2" borderId="0" xfId="0" applyFont="1" applyFill="1" applyAlignment="1">
      <alignment vertical="center" wrapText="1"/>
    </xf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1" fontId="2" fillId="0" borderId="0" xfId="0" applyNumberFormat="1" applyFont="1" applyAlignment="1">
      <alignment vertical="top"/>
    </xf>
    <xf numFmtId="9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3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/>
  </sheetViews>
  <sheetFormatPr defaultRowHeight="14.4" x14ac:dyDescent="0.3"/>
  <cols>
    <col min="1" max="1" width="52" customWidth="1"/>
    <col min="2" max="3" width="18" customWidth="1"/>
  </cols>
  <sheetData>
    <row r="1" spans="1:3" ht="23.4" x14ac:dyDescent="0.45">
      <c r="A1" s="1" t="s">
        <v>0</v>
      </c>
    </row>
    <row r="2" spans="1:3" ht="28.8" x14ac:dyDescent="0.3">
      <c r="A2" s="2" t="s">
        <v>1</v>
      </c>
      <c r="B2" s="3"/>
      <c r="C2" s="3"/>
    </row>
    <row r="3" spans="1:3" x14ac:dyDescent="0.3">
      <c r="A3" s="3"/>
      <c r="B3" s="3"/>
      <c r="C3" s="3"/>
    </row>
    <row r="4" spans="1:3" x14ac:dyDescent="0.3">
      <c r="A4" s="4" t="s">
        <v>2</v>
      </c>
      <c r="B4" s="4" t="s">
        <v>3</v>
      </c>
      <c r="C4" s="4" t="s">
        <v>4</v>
      </c>
    </row>
    <row r="5" spans="1:3" x14ac:dyDescent="0.3">
      <c r="A5" s="3" t="s">
        <v>5</v>
      </c>
      <c r="B5" s="5">
        <f>SUMIF('Costed BOM'!$A$2:$A$80,A5,'Costed BOM'!$F$2:$F$80)</f>
        <v>69001.25</v>
      </c>
      <c r="C5" s="5">
        <f>SUMIF('Costed BOM'!$A$2:$A$80,A5,'Costed BOM'!$H$2:$H$80)</f>
        <v>58690.85</v>
      </c>
    </row>
    <row r="6" spans="1:3" x14ac:dyDescent="0.3">
      <c r="A6" s="3" t="s">
        <v>6</v>
      </c>
      <c r="B6" s="5">
        <f>SUMIF('Costed BOM'!$A$2:$A$80,A6,'Costed BOM'!$F$2:$F$80)</f>
        <v>11484</v>
      </c>
      <c r="C6" s="5">
        <f>SUMIF('Costed BOM'!$A$2:$A$80,A6,'Costed BOM'!$H$2:$H$80)</f>
        <v>8224</v>
      </c>
    </row>
    <row r="7" spans="1:3" x14ac:dyDescent="0.3">
      <c r="A7" s="3" t="s">
        <v>7</v>
      </c>
      <c r="B7" s="5">
        <f>SUMIF('Costed BOM'!$A$2:$A$80,A7,'Costed BOM'!$F$2:$F$80)</f>
        <v>3322.26</v>
      </c>
      <c r="C7" s="5">
        <f>SUMIF('Costed BOM'!$A$2:$A$80,A7,'Costed BOM'!$H$2:$H$80)</f>
        <v>2757.85</v>
      </c>
    </row>
    <row r="8" spans="1:3" x14ac:dyDescent="0.3">
      <c r="A8" s="3" t="s">
        <v>8</v>
      </c>
      <c r="B8" s="5">
        <f>SUMIF('Costed BOM'!$A$2:$A$80,A8,'Costed BOM'!$F$2:$F$80)</f>
        <v>5602.56</v>
      </c>
      <c r="C8" s="5">
        <f>SUMIF('Costed BOM'!$A$2:$A$80,A8,'Costed BOM'!$H$2:$H$80)</f>
        <v>5602.56</v>
      </c>
    </row>
    <row r="9" spans="1:3" x14ac:dyDescent="0.3">
      <c r="A9" s="3" t="s">
        <v>9</v>
      </c>
      <c r="B9" s="5">
        <f>SUMIF('Costed BOM'!$A$2:$A$80,A9,'Costed BOM'!$F$2:$F$80)</f>
        <v>1849.84</v>
      </c>
      <c r="C9" s="5">
        <f>SUMIF('Costed BOM'!$A$2:$A$80,A9,'Costed BOM'!$H$2:$H$80)</f>
        <v>1849.84</v>
      </c>
    </row>
    <row r="10" spans="1:3" x14ac:dyDescent="0.3">
      <c r="A10" s="3" t="s">
        <v>10</v>
      </c>
      <c r="B10" s="5">
        <f>SUMIF('Costed BOM'!$A$2:$A$80,A10,'Costed BOM'!$F$2:$F$80)</f>
        <v>76172.17</v>
      </c>
      <c r="C10" s="5">
        <f>SUMIF('Costed BOM'!$A$2:$A$80,A10,'Costed BOM'!$H$2:$H$80)</f>
        <v>53462.69999999999</v>
      </c>
    </row>
    <row r="11" spans="1:3" x14ac:dyDescent="0.3">
      <c r="A11" s="3" t="s">
        <v>11</v>
      </c>
      <c r="B11" s="5">
        <f>SUMIF('Costed BOM'!$A$2:$A$80,A11,'Costed BOM'!$F$2:$F$80)</f>
        <v>2050</v>
      </c>
      <c r="C11" s="5">
        <f>SUMIF('Costed BOM'!$A$2:$A$80,A11,'Costed BOM'!$H$2:$H$80)</f>
        <v>1950</v>
      </c>
    </row>
    <row r="12" spans="1:3" x14ac:dyDescent="0.3">
      <c r="A12" s="3" t="s">
        <v>12</v>
      </c>
      <c r="B12" s="5">
        <f>SUMIF('Costed BOM'!$A$2:$A$80,A12,'Costed BOM'!$F$2:$F$80)</f>
        <v>5190</v>
      </c>
      <c r="C12" s="5">
        <f>SUMIF('Costed BOM'!$A$2:$A$80,A12,'Costed BOM'!$H$2:$H$80)</f>
        <v>5190</v>
      </c>
    </row>
    <row r="13" spans="1:3" x14ac:dyDescent="0.3">
      <c r="A13" s="3" t="s">
        <v>13</v>
      </c>
      <c r="B13" s="5">
        <f>SUMIF('Costed BOM'!$A$2:$A$80,A13,'Costed BOM'!$F$2:$F$80)</f>
        <v>6600</v>
      </c>
      <c r="C13" s="5">
        <f>SUMIF('Costed BOM'!$A$2:$A$80,A13,'Costed BOM'!$H$2:$H$80)</f>
        <v>4800</v>
      </c>
    </row>
    <row r="14" spans="1:3" x14ac:dyDescent="0.3">
      <c r="A14" s="6" t="s">
        <v>14</v>
      </c>
      <c r="B14" s="5">
        <f>'Costed BOM'!F83+'Costed BOM'!F84+'Costed BOM'!F85</f>
        <v>5438.1624000000002</v>
      </c>
      <c r="C14" s="5">
        <f>'Costed BOM'!H83+'Costed BOM'!H84+'Costed BOM'!H85</f>
        <v>5525.8340000000007</v>
      </c>
    </row>
    <row r="15" spans="1:3" x14ac:dyDescent="0.3">
      <c r="A15" s="7" t="s">
        <v>15</v>
      </c>
      <c r="B15" s="8">
        <f>'Costed BOM'!F86</f>
        <v>186710.24240000002</v>
      </c>
      <c r="C15" s="8">
        <f>'Costed BOM'!H86</f>
        <v>148053.63400000002</v>
      </c>
    </row>
    <row r="16" spans="1:3" x14ac:dyDescent="0.3">
      <c r="A16" s="7" t="s">
        <v>16</v>
      </c>
      <c r="B16" s="8">
        <f>'Costed BOM'!F88</f>
        <v>220318.08603200002</v>
      </c>
      <c r="C16" s="8">
        <f>'Costed BOM'!H88</f>
        <v>174703.28812000001</v>
      </c>
    </row>
    <row r="17" spans="1:3" x14ac:dyDescent="0.3">
      <c r="A17" s="6" t="s">
        <v>17</v>
      </c>
      <c r="B17" s="5">
        <f>SUMIF('Costed BOM'!$M$2:$M$80,"Site kit",'Costed BOM'!$F$2:$F$80)*(1+0.03)</f>
        <v>29217.711300000003</v>
      </c>
      <c r="C17" s="5">
        <f>SUMIF('Costed BOM'!$M$2:$M$80,"Site kit",'Costed BOM'!$H$2:$H$80)*(1+0.03)</f>
        <v>24309.266899999999</v>
      </c>
    </row>
    <row r="18" spans="1:3" x14ac:dyDescent="0.3">
      <c r="A18" s="9" t="s">
        <v>18</v>
      </c>
      <c r="B18" s="10">
        <f>B15-B17</f>
        <v>157492.53110000002</v>
      </c>
      <c r="C18" s="10">
        <f>C15-C17</f>
        <v>123744.36710000002</v>
      </c>
    </row>
    <row r="19" spans="1:3" x14ac:dyDescent="0.3">
      <c r="A19" s="3"/>
      <c r="B19" s="3"/>
      <c r="C19" s="3"/>
    </row>
    <row r="20" spans="1:3" ht="28.8" x14ac:dyDescent="0.3">
      <c r="A20" s="11" t="s">
        <v>19</v>
      </c>
      <c r="B20" s="3" t="s">
        <v>20</v>
      </c>
      <c r="C20" s="3" t="s">
        <v>21</v>
      </c>
    </row>
    <row r="21" spans="1:3" x14ac:dyDescent="0.3">
      <c r="A21" s="6" t="s">
        <v>22</v>
      </c>
      <c r="B21" s="12">
        <v>5708</v>
      </c>
      <c r="C21" s="12">
        <v>5448</v>
      </c>
    </row>
    <row r="22" spans="1:3" x14ac:dyDescent="0.3">
      <c r="A22" s="3" t="s">
        <v>23</v>
      </c>
      <c r="B22" s="12">
        <v>3903</v>
      </c>
      <c r="C22" s="12">
        <v>3855</v>
      </c>
    </row>
    <row r="23" spans="1:3" x14ac:dyDescent="0.3">
      <c r="A23" s="6" t="s">
        <v>24</v>
      </c>
      <c r="B23" s="12">
        <v>2778</v>
      </c>
      <c r="C23" s="12">
        <v>2169</v>
      </c>
    </row>
    <row r="24" spans="1:3" x14ac:dyDescent="0.3">
      <c r="A24" s="6" t="s">
        <v>25</v>
      </c>
      <c r="B24" s="12">
        <v>268</v>
      </c>
      <c r="C24" s="12">
        <v>268</v>
      </c>
    </row>
    <row r="25" spans="1:3" x14ac:dyDescent="0.3">
      <c r="A25" s="6" t="s">
        <v>26</v>
      </c>
      <c r="B25" s="12">
        <v>183</v>
      </c>
      <c r="C25" s="12">
        <v>183</v>
      </c>
    </row>
    <row r="26" spans="1:3" ht="28.8" x14ac:dyDescent="0.3">
      <c r="A26" s="6" t="s">
        <v>27</v>
      </c>
      <c r="B26" s="12">
        <v>19798</v>
      </c>
      <c r="C26" s="3"/>
    </row>
    <row r="27" spans="1:3" x14ac:dyDescent="0.3">
      <c r="A27" s="6" t="s">
        <v>28</v>
      </c>
      <c r="B27" s="12">
        <v>219348</v>
      </c>
      <c r="C27" s="12">
        <v>168059</v>
      </c>
    </row>
    <row r="28" spans="1:3" x14ac:dyDescent="0.3">
      <c r="A28" s="3"/>
      <c r="B28" s="3"/>
      <c r="C28" s="3"/>
    </row>
    <row r="29" spans="1:3" x14ac:dyDescent="0.3">
      <c r="A29" s="11" t="s">
        <v>29</v>
      </c>
      <c r="B29" s="3"/>
      <c r="C29" s="3"/>
    </row>
    <row r="30" spans="1:3" x14ac:dyDescent="0.3">
      <c r="A30" s="3" t="s">
        <v>30</v>
      </c>
      <c r="B30" s="3">
        <v>66</v>
      </c>
      <c r="C30" s="3"/>
    </row>
    <row r="31" spans="1:3" x14ac:dyDescent="0.3">
      <c r="A31" s="3" t="s">
        <v>31</v>
      </c>
      <c r="B31" s="3">
        <v>144</v>
      </c>
      <c r="C31" s="3"/>
    </row>
    <row r="32" spans="1:3" x14ac:dyDescent="0.3">
      <c r="A32" s="3" t="s">
        <v>32</v>
      </c>
      <c r="B32" s="3">
        <v>34</v>
      </c>
      <c r="C32" s="3"/>
    </row>
    <row r="33" spans="1:3" x14ac:dyDescent="0.3">
      <c r="A33" s="3" t="s">
        <v>33</v>
      </c>
      <c r="B33" s="3">
        <v>20</v>
      </c>
      <c r="C33" s="3"/>
    </row>
    <row r="34" spans="1:3" x14ac:dyDescent="0.3">
      <c r="A34" s="3" t="s">
        <v>34</v>
      </c>
      <c r="B34" s="3">
        <v>9</v>
      </c>
      <c r="C34" s="3"/>
    </row>
    <row r="35" spans="1:3" x14ac:dyDescent="0.3">
      <c r="A35" s="3" t="s">
        <v>35</v>
      </c>
      <c r="B35" s="3">
        <v>3</v>
      </c>
      <c r="C35" s="3"/>
    </row>
    <row r="36" spans="1:3" x14ac:dyDescent="0.3">
      <c r="A36" s="6" t="s">
        <v>36</v>
      </c>
      <c r="B36" s="3">
        <v>67</v>
      </c>
      <c r="C36" s="3"/>
    </row>
    <row r="37" spans="1:3" x14ac:dyDescent="0.3">
      <c r="A37" s="3"/>
      <c r="B37" s="3"/>
      <c r="C37" s="3"/>
    </row>
    <row r="38" spans="1:3" x14ac:dyDescent="0.3">
      <c r="A38" s="6" t="s">
        <v>37</v>
      </c>
      <c r="B38" s="12">
        <v>138000</v>
      </c>
      <c r="C38" s="3" t="s">
        <v>38</v>
      </c>
    </row>
    <row r="39" spans="1:3" x14ac:dyDescent="0.3">
      <c r="A39" s="6" t="s">
        <v>39</v>
      </c>
      <c r="B39" s="12">
        <v>90576</v>
      </c>
      <c r="C39" s="3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0" customWidth="1"/>
    <col min="3" max="3" width="52" customWidth="1"/>
    <col min="4" max="4" width="6" customWidth="1"/>
    <col min="5" max="8" width="14" customWidth="1"/>
    <col min="9" max="10" width="12" customWidth="1"/>
    <col min="11" max="11" width="60" customWidth="1"/>
    <col min="12" max="12" width="44" customWidth="1"/>
    <col min="13" max="13" width="12" customWidth="1"/>
  </cols>
  <sheetData>
    <row r="1" spans="1:13" ht="30" customHeight="1" x14ac:dyDescent="0.3">
      <c r="A1" s="13" t="s">
        <v>41</v>
      </c>
      <c r="B1" s="13" t="s">
        <v>42</v>
      </c>
      <c r="C1" s="13" t="s">
        <v>43</v>
      </c>
      <c r="D1" s="13" t="s">
        <v>44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50</v>
      </c>
      <c r="K1" s="13" t="s">
        <v>51</v>
      </c>
      <c r="L1" s="13" t="s">
        <v>4</v>
      </c>
      <c r="M1" s="13" t="s">
        <v>52</v>
      </c>
    </row>
    <row r="2" spans="1:13" ht="28.8" x14ac:dyDescent="0.3">
      <c r="A2" s="3" t="s">
        <v>5</v>
      </c>
      <c r="B2" s="3" t="s">
        <v>53</v>
      </c>
      <c r="C2" s="3" t="s">
        <v>54</v>
      </c>
      <c r="D2" s="3">
        <v>1</v>
      </c>
      <c r="E2" s="14">
        <v>12384</v>
      </c>
      <c r="F2" s="12">
        <f t="shared" ref="F2:F33" si="0">D2*E2</f>
        <v>12384</v>
      </c>
      <c r="G2" s="14">
        <v>10526.4</v>
      </c>
      <c r="H2" s="12">
        <f t="shared" ref="H2:H33" si="1">D2*G2</f>
        <v>10526.4</v>
      </c>
      <c r="I2" s="3" t="s">
        <v>55</v>
      </c>
      <c r="J2" s="3" t="s">
        <v>56</v>
      </c>
      <c r="K2" s="6" t="s">
        <v>57</v>
      </c>
      <c r="L2" s="6" t="s">
        <v>58</v>
      </c>
      <c r="M2" s="3" t="s">
        <v>59</v>
      </c>
    </row>
    <row r="3" spans="1:13" ht="28.8" x14ac:dyDescent="0.3">
      <c r="A3" s="3" t="s">
        <v>5</v>
      </c>
      <c r="B3" s="3" t="s">
        <v>53</v>
      </c>
      <c r="C3" s="6" t="s">
        <v>60</v>
      </c>
      <c r="D3" s="3">
        <v>1</v>
      </c>
      <c r="E3" s="14">
        <v>15264</v>
      </c>
      <c r="F3" s="12">
        <f t="shared" si="0"/>
        <v>15264</v>
      </c>
      <c r="G3" s="14">
        <v>12974.4</v>
      </c>
      <c r="H3" s="12">
        <f t="shared" si="1"/>
        <v>12974.4</v>
      </c>
      <c r="I3" s="3" t="s">
        <v>55</v>
      </c>
      <c r="J3" s="3" t="s">
        <v>61</v>
      </c>
      <c r="K3" s="6" t="s">
        <v>62</v>
      </c>
      <c r="L3" s="6" t="s">
        <v>58</v>
      </c>
      <c r="M3" s="3" t="s">
        <v>59</v>
      </c>
    </row>
    <row r="4" spans="1:13" ht="28.8" x14ac:dyDescent="0.3">
      <c r="A4" s="3" t="s">
        <v>5</v>
      </c>
      <c r="B4" s="3" t="s">
        <v>53</v>
      </c>
      <c r="C4" s="6" t="s">
        <v>63</v>
      </c>
      <c r="D4" s="3">
        <v>1</v>
      </c>
      <c r="E4" s="14">
        <v>19104</v>
      </c>
      <c r="F4" s="12">
        <f t="shared" si="0"/>
        <v>19104</v>
      </c>
      <c r="G4" s="14">
        <v>16238.4</v>
      </c>
      <c r="H4" s="12">
        <f t="shared" si="1"/>
        <v>16238.4</v>
      </c>
      <c r="I4" s="3" t="s">
        <v>55</v>
      </c>
      <c r="J4" s="3" t="s">
        <v>56</v>
      </c>
      <c r="K4" s="6" t="s">
        <v>64</v>
      </c>
      <c r="L4" s="6" t="s">
        <v>58</v>
      </c>
      <c r="M4" s="3" t="s">
        <v>59</v>
      </c>
    </row>
    <row r="5" spans="1:13" ht="28.8" x14ac:dyDescent="0.3">
      <c r="A5" s="3" t="s">
        <v>5</v>
      </c>
      <c r="B5" s="3" t="s">
        <v>53</v>
      </c>
      <c r="C5" s="6" t="s">
        <v>65</v>
      </c>
      <c r="D5" s="3">
        <v>1</v>
      </c>
      <c r="E5" s="14">
        <v>21984</v>
      </c>
      <c r="F5" s="12">
        <f t="shared" si="0"/>
        <v>21984</v>
      </c>
      <c r="G5" s="14">
        <v>18686.400000000001</v>
      </c>
      <c r="H5" s="12">
        <f t="shared" si="1"/>
        <v>18686.400000000001</v>
      </c>
      <c r="I5" s="3" t="s">
        <v>55</v>
      </c>
      <c r="J5" s="3" t="s">
        <v>66</v>
      </c>
      <c r="K5" s="6" t="s">
        <v>67</v>
      </c>
      <c r="L5" s="6" t="s">
        <v>58</v>
      </c>
      <c r="M5" s="3" t="s">
        <v>59</v>
      </c>
    </row>
    <row r="6" spans="1:13" x14ac:dyDescent="0.3">
      <c r="A6" s="3" t="s">
        <v>5</v>
      </c>
      <c r="B6" s="3" t="s">
        <v>68</v>
      </c>
      <c r="C6" s="6" t="s">
        <v>69</v>
      </c>
      <c r="D6" s="3">
        <v>1</v>
      </c>
      <c r="E6" s="14">
        <v>265.25</v>
      </c>
      <c r="F6" s="12">
        <f t="shared" si="0"/>
        <v>265.25</v>
      </c>
      <c r="G6" s="14">
        <v>265.25</v>
      </c>
      <c r="H6" s="12">
        <f t="shared" si="1"/>
        <v>265.25</v>
      </c>
      <c r="I6" s="3" t="s">
        <v>55</v>
      </c>
      <c r="J6" s="3" t="s">
        <v>70</v>
      </c>
      <c r="K6" s="3"/>
      <c r="L6" s="3"/>
      <c r="M6" s="3" t="s">
        <v>59</v>
      </c>
    </row>
    <row r="7" spans="1:13" ht="28.8" x14ac:dyDescent="0.3">
      <c r="A7" s="3" t="s">
        <v>6</v>
      </c>
      <c r="B7" s="3" t="s">
        <v>71</v>
      </c>
      <c r="C7" s="6" t="s">
        <v>72</v>
      </c>
      <c r="D7" s="3">
        <v>1</v>
      </c>
      <c r="E7" s="14">
        <v>749</v>
      </c>
      <c r="F7" s="12">
        <f t="shared" si="0"/>
        <v>749</v>
      </c>
      <c r="G7" s="14">
        <v>350</v>
      </c>
      <c r="H7" s="12">
        <f t="shared" si="1"/>
        <v>350</v>
      </c>
      <c r="I7" s="3" t="s">
        <v>55</v>
      </c>
      <c r="J7" s="3" t="s">
        <v>73</v>
      </c>
      <c r="K7" s="3"/>
      <c r="L7" s="6" t="s">
        <v>74</v>
      </c>
      <c r="M7" s="3" t="s">
        <v>59</v>
      </c>
    </row>
    <row r="8" spans="1:13" x14ac:dyDescent="0.3">
      <c r="A8" s="3" t="s">
        <v>6</v>
      </c>
      <c r="B8" s="3" t="s">
        <v>71</v>
      </c>
      <c r="C8" s="6" t="s">
        <v>75</v>
      </c>
      <c r="D8" s="3">
        <v>1</v>
      </c>
      <c r="E8" s="14">
        <v>1900</v>
      </c>
      <c r="F8" s="12">
        <f t="shared" si="0"/>
        <v>1900</v>
      </c>
      <c r="G8" s="14">
        <v>489</v>
      </c>
      <c r="H8" s="12">
        <f t="shared" si="1"/>
        <v>489</v>
      </c>
      <c r="I8" s="3" t="s">
        <v>55</v>
      </c>
      <c r="J8" s="3" t="s">
        <v>76</v>
      </c>
      <c r="K8" s="3" t="s">
        <v>77</v>
      </c>
      <c r="L8" s="3" t="s">
        <v>78</v>
      </c>
      <c r="M8" s="3" t="s">
        <v>59</v>
      </c>
    </row>
    <row r="9" spans="1:13" x14ac:dyDescent="0.3">
      <c r="A9" s="3" t="s">
        <v>6</v>
      </c>
      <c r="B9" s="3" t="s">
        <v>71</v>
      </c>
      <c r="C9" s="3" t="s">
        <v>79</v>
      </c>
      <c r="D9" s="3">
        <v>1</v>
      </c>
      <c r="E9" s="14">
        <v>325</v>
      </c>
      <c r="F9" s="12">
        <f t="shared" si="0"/>
        <v>325</v>
      </c>
      <c r="G9" s="14">
        <v>325</v>
      </c>
      <c r="H9" s="12">
        <f t="shared" si="1"/>
        <v>325</v>
      </c>
      <c r="I9" s="3" t="s">
        <v>55</v>
      </c>
      <c r="J9" s="3" t="s">
        <v>80</v>
      </c>
      <c r="K9" s="3" t="s">
        <v>81</v>
      </c>
      <c r="L9" s="3"/>
      <c r="M9" s="3" t="s">
        <v>59</v>
      </c>
    </row>
    <row r="10" spans="1:13" x14ac:dyDescent="0.3">
      <c r="A10" s="3" t="s">
        <v>6</v>
      </c>
      <c r="B10" s="3" t="s">
        <v>71</v>
      </c>
      <c r="C10" s="3" t="s">
        <v>82</v>
      </c>
      <c r="D10" s="3">
        <v>1</v>
      </c>
      <c r="E10" s="14">
        <v>105</v>
      </c>
      <c r="F10" s="12">
        <f t="shared" si="0"/>
        <v>105</v>
      </c>
      <c r="G10" s="14">
        <v>105</v>
      </c>
      <c r="H10" s="12">
        <f t="shared" si="1"/>
        <v>105</v>
      </c>
      <c r="I10" s="3" t="s">
        <v>55</v>
      </c>
      <c r="J10" s="3" t="s">
        <v>80</v>
      </c>
      <c r="K10" s="3"/>
      <c r="L10" s="3"/>
      <c r="M10" s="3" t="s">
        <v>59</v>
      </c>
    </row>
    <row r="11" spans="1:13" x14ac:dyDescent="0.3">
      <c r="A11" s="3" t="s">
        <v>6</v>
      </c>
      <c r="B11" s="3" t="s">
        <v>71</v>
      </c>
      <c r="C11" s="3" t="s">
        <v>83</v>
      </c>
      <c r="D11" s="3">
        <v>1</v>
      </c>
      <c r="E11" s="14">
        <v>285</v>
      </c>
      <c r="F11" s="12">
        <f t="shared" si="0"/>
        <v>285</v>
      </c>
      <c r="G11" s="14">
        <v>285</v>
      </c>
      <c r="H11" s="12">
        <f t="shared" si="1"/>
        <v>285</v>
      </c>
      <c r="I11" s="3" t="s">
        <v>55</v>
      </c>
      <c r="J11" s="3" t="s">
        <v>80</v>
      </c>
      <c r="K11" s="3"/>
      <c r="L11" s="3"/>
      <c r="M11" s="3" t="s">
        <v>59</v>
      </c>
    </row>
    <row r="12" spans="1:13" x14ac:dyDescent="0.3">
      <c r="A12" s="3" t="s">
        <v>6</v>
      </c>
      <c r="B12" s="3" t="s">
        <v>71</v>
      </c>
      <c r="C12" s="6" t="s">
        <v>84</v>
      </c>
      <c r="D12" s="3">
        <v>1</v>
      </c>
      <c r="E12" s="14">
        <v>300</v>
      </c>
      <c r="F12" s="12">
        <f t="shared" si="0"/>
        <v>300</v>
      </c>
      <c r="G12" s="14">
        <v>300</v>
      </c>
      <c r="H12" s="12">
        <f t="shared" si="1"/>
        <v>300</v>
      </c>
      <c r="I12" s="3" t="s">
        <v>85</v>
      </c>
      <c r="J12" s="3"/>
      <c r="K12" s="3" t="s">
        <v>86</v>
      </c>
      <c r="L12" s="3"/>
      <c r="M12" s="3" t="s">
        <v>59</v>
      </c>
    </row>
    <row r="13" spans="1:13" x14ac:dyDescent="0.3">
      <c r="A13" s="3" t="s">
        <v>6</v>
      </c>
      <c r="B13" s="3" t="s">
        <v>71</v>
      </c>
      <c r="C13" s="3" t="s">
        <v>87</v>
      </c>
      <c r="D13" s="3">
        <v>1</v>
      </c>
      <c r="E13" s="14">
        <v>510</v>
      </c>
      <c r="F13" s="12">
        <f t="shared" si="0"/>
        <v>510</v>
      </c>
      <c r="G13" s="14">
        <v>510</v>
      </c>
      <c r="H13" s="12">
        <f t="shared" si="1"/>
        <v>510</v>
      </c>
      <c r="I13" s="3" t="s">
        <v>85</v>
      </c>
      <c r="J13" s="3"/>
      <c r="K13" s="3"/>
      <c r="L13" s="3"/>
      <c r="M13" s="3" t="s">
        <v>59</v>
      </c>
    </row>
    <row r="14" spans="1:13" x14ac:dyDescent="0.3">
      <c r="A14" s="3" t="s">
        <v>6</v>
      </c>
      <c r="B14" s="3" t="s">
        <v>71</v>
      </c>
      <c r="C14" s="3" t="s">
        <v>88</v>
      </c>
      <c r="D14" s="3">
        <v>3</v>
      </c>
      <c r="E14" s="14">
        <v>150</v>
      </c>
      <c r="F14" s="12">
        <f t="shared" si="0"/>
        <v>450</v>
      </c>
      <c r="G14" s="14">
        <v>150</v>
      </c>
      <c r="H14" s="12">
        <f t="shared" si="1"/>
        <v>450</v>
      </c>
      <c r="I14" s="3" t="s">
        <v>85</v>
      </c>
      <c r="J14" s="3"/>
      <c r="K14" s="3" t="s">
        <v>89</v>
      </c>
      <c r="L14" s="3"/>
      <c r="M14" s="3" t="s">
        <v>59</v>
      </c>
    </row>
    <row r="15" spans="1:13" x14ac:dyDescent="0.3">
      <c r="A15" s="3" t="s">
        <v>6</v>
      </c>
      <c r="B15" s="3" t="s">
        <v>71</v>
      </c>
      <c r="C15" s="6" t="s">
        <v>90</v>
      </c>
      <c r="D15" s="3">
        <v>1</v>
      </c>
      <c r="E15" s="14">
        <v>600</v>
      </c>
      <c r="F15" s="12">
        <f t="shared" si="0"/>
        <v>600</v>
      </c>
      <c r="G15" s="14">
        <v>600</v>
      </c>
      <c r="H15" s="12">
        <f t="shared" si="1"/>
        <v>600</v>
      </c>
      <c r="I15" s="3" t="s">
        <v>85</v>
      </c>
      <c r="J15" s="3"/>
      <c r="K15" s="3"/>
      <c r="L15" s="3"/>
      <c r="M15" s="3" t="s">
        <v>59</v>
      </c>
    </row>
    <row r="16" spans="1:13" x14ac:dyDescent="0.3">
      <c r="A16" s="3" t="s">
        <v>6</v>
      </c>
      <c r="B16" s="3" t="s">
        <v>71</v>
      </c>
      <c r="C16" s="6" t="s">
        <v>91</v>
      </c>
      <c r="D16" s="3">
        <v>1</v>
      </c>
      <c r="E16" s="14">
        <v>2100</v>
      </c>
      <c r="F16" s="12">
        <f t="shared" si="0"/>
        <v>2100</v>
      </c>
      <c r="G16" s="14">
        <v>650</v>
      </c>
      <c r="H16" s="12">
        <f t="shared" si="1"/>
        <v>650</v>
      </c>
      <c r="I16" s="3" t="s">
        <v>92</v>
      </c>
      <c r="J16" s="3" t="s">
        <v>93</v>
      </c>
      <c r="K16" s="3" t="s">
        <v>94</v>
      </c>
      <c r="L16" s="6" t="s">
        <v>95</v>
      </c>
      <c r="M16" s="3" t="s">
        <v>59</v>
      </c>
    </row>
    <row r="17" spans="1:13" x14ac:dyDescent="0.3">
      <c r="A17" s="3" t="s">
        <v>6</v>
      </c>
      <c r="B17" s="3" t="s">
        <v>96</v>
      </c>
      <c r="C17" s="6" t="s">
        <v>97</v>
      </c>
      <c r="D17" s="3">
        <v>1</v>
      </c>
      <c r="E17" s="14">
        <v>1500</v>
      </c>
      <c r="F17" s="12">
        <f t="shared" si="0"/>
        <v>1500</v>
      </c>
      <c r="G17" s="14">
        <v>1500</v>
      </c>
      <c r="H17" s="12">
        <f t="shared" si="1"/>
        <v>1500</v>
      </c>
      <c r="I17" s="3" t="s">
        <v>55</v>
      </c>
      <c r="J17" s="3" t="s">
        <v>98</v>
      </c>
      <c r="K17" s="3"/>
      <c r="L17" s="3"/>
      <c r="M17" s="3" t="s">
        <v>59</v>
      </c>
    </row>
    <row r="18" spans="1:13" x14ac:dyDescent="0.3">
      <c r="A18" s="3" t="s">
        <v>6</v>
      </c>
      <c r="B18" s="3" t="s">
        <v>99</v>
      </c>
      <c r="C18" s="3" t="s">
        <v>100</v>
      </c>
      <c r="D18" s="3">
        <v>10</v>
      </c>
      <c r="E18" s="14">
        <v>70</v>
      </c>
      <c r="F18" s="12">
        <f t="shared" si="0"/>
        <v>700</v>
      </c>
      <c r="G18" s="14">
        <v>70</v>
      </c>
      <c r="H18" s="12">
        <f t="shared" si="1"/>
        <v>700</v>
      </c>
      <c r="I18" s="3" t="s">
        <v>92</v>
      </c>
      <c r="J18" s="3" t="s">
        <v>101</v>
      </c>
      <c r="K18" s="3" t="s">
        <v>102</v>
      </c>
      <c r="L18" s="3"/>
      <c r="M18" s="3" t="s">
        <v>59</v>
      </c>
    </row>
    <row r="19" spans="1:13" x14ac:dyDescent="0.3">
      <c r="A19" s="3" t="s">
        <v>6</v>
      </c>
      <c r="B19" s="3" t="s">
        <v>103</v>
      </c>
      <c r="C19" s="3" t="s">
        <v>104</v>
      </c>
      <c r="D19" s="3">
        <v>1</v>
      </c>
      <c r="E19" s="14">
        <v>560</v>
      </c>
      <c r="F19" s="12">
        <f t="shared" si="0"/>
        <v>560</v>
      </c>
      <c r="G19" s="14">
        <v>560</v>
      </c>
      <c r="H19" s="12">
        <f t="shared" si="1"/>
        <v>560</v>
      </c>
      <c r="I19" s="3" t="s">
        <v>92</v>
      </c>
      <c r="J19" s="3" t="s">
        <v>105</v>
      </c>
      <c r="K19" s="6" t="s">
        <v>106</v>
      </c>
      <c r="L19" s="3"/>
      <c r="M19" s="3" t="s">
        <v>59</v>
      </c>
    </row>
    <row r="20" spans="1:13" x14ac:dyDescent="0.3">
      <c r="A20" s="3" t="s">
        <v>6</v>
      </c>
      <c r="B20" s="3" t="s">
        <v>99</v>
      </c>
      <c r="C20" s="3" t="s">
        <v>107</v>
      </c>
      <c r="D20" s="3">
        <v>1</v>
      </c>
      <c r="E20" s="14">
        <v>1400</v>
      </c>
      <c r="F20" s="12">
        <f t="shared" si="0"/>
        <v>1400</v>
      </c>
      <c r="G20" s="14">
        <v>1400</v>
      </c>
      <c r="H20" s="12">
        <f t="shared" si="1"/>
        <v>1400</v>
      </c>
      <c r="I20" s="3" t="s">
        <v>85</v>
      </c>
      <c r="J20" s="3"/>
      <c r="K20" s="3"/>
      <c r="L20" s="3"/>
      <c r="M20" s="3" t="s">
        <v>59</v>
      </c>
    </row>
    <row r="21" spans="1:13" x14ac:dyDescent="0.3">
      <c r="A21" s="3" t="s">
        <v>7</v>
      </c>
      <c r="B21" s="3" t="s">
        <v>108</v>
      </c>
      <c r="C21" s="3" t="s">
        <v>109</v>
      </c>
      <c r="D21" s="3">
        <v>1</v>
      </c>
      <c r="E21" s="14">
        <v>1864.41</v>
      </c>
      <c r="F21" s="12">
        <f t="shared" si="0"/>
        <v>1864.41</v>
      </c>
      <c r="G21" s="14">
        <v>1300</v>
      </c>
      <c r="H21" s="12">
        <f t="shared" si="1"/>
        <v>1300</v>
      </c>
      <c r="I21" s="3" t="s">
        <v>55</v>
      </c>
      <c r="J21" s="3" t="s">
        <v>110</v>
      </c>
      <c r="K21" s="3" t="s">
        <v>111</v>
      </c>
      <c r="L21" s="3" t="s">
        <v>112</v>
      </c>
      <c r="M21" s="3" t="s">
        <v>59</v>
      </c>
    </row>
    <row r="22" spans="1:13" x14ac:dyDescent="0.3">
      <c r="A22" s="3" t="s">
        <v>7</v>
      </c>
      <c r="B22" s="3" t="s">
        <v>113</v>
      </c>
      <c r="C22" s="3" t="s">
        <v>114</v>
      </c>
      <c r="D22" s="3">
        <v>1</v>
      </c>
      <c r="E22" s="14">
        <v>1100.8499999999999</v>
      </c>
      <c r="F22" s="12">
        <f t="shared" si="0"/>
        <v>1100.8499999999999</v>
      </c>
      <c r="G22" s="14">
        <v>1100.8499999999999</v>
      </c>
      <c r="H22" s="12">
        <f t="shared" si="1"/>
        <v>1100.8499999999999</v>
      </c>
      <c r="I22" s="3" t="s">
        <v>55</v>
      </c>
      <c r="J22" s="3" t="s">
        <v>115</v>
      </c>
      <c r="K22" s="3" t="s">
        <v>116</v>
      </c>
      <c r="L22" s="3"/>
      <c r="M22" s="3" t="s">
        <v>59</v>
      </c>
    </row>
    <row r="23" spans="1:13" x14ac:dyDescent="0.3">
      <c r="A23" s="3" t="s">
        <v>7</v>
      </c>
      <c r="B23" s="3" t="s">
        <v>117</v>
      </c>
      <c r="C23" s="6" t="s">
        <v>118</v>
      </c>
      <c r="D23" s="3">
        <v>1</v>
      </c>
      <c r="E23" s="14">
        <v>207</v>
      </c>
      <c r="F23" s="12">
        <f t="shared" si="0"/>
        <v>207</v>
      </c>
      <c r="G23" s="14">
        <v>207</v>
      </c>
      <c r="H23" s="12">
        <f t="shared" si="1"/>
        <v>207</v>
      </c>
      <c r="I23" s="3" t="s">
        <v>55</v>
      </c>
      <c r="J23" s="3" t="s">
        <v>119</v>
      </c>
      <c r="K23" s="3" t="s">
        <v>120</v>
      </c>
      <c r="L23" s="3"/>
      <c r="M23" s="3" t="s">
        <v>59</v>
      </c>
    </row>
    <row r="24" spans="1:13" x14ac:dyDescent="0.3">
      <c r="A24" s="3" t="s">
        <v>7</v>
      </c>
      <c r="B24" s="3" t="s">
        <v>117</v>
      </c>
      <c r="C24" s="3" t="s">
        <v>121</v>
      </c>
      <c r="D24" s="3">
        <v>1</v>
      </c>
      <c r="E24" s="14">
        <v>150</v>
      </c>
      <c r="F24" s="12">
        <f t="shared" si="0"/>
        <v>150</v>
      </c>
      <c r="G24" s="14">
        <v>150</v>
      </c>
      <c r="H24" s="12">
        <f t="shared" si="1"/>
        <v>150</v>
      </c>
      <c r="I24" s="3" t="s">
        <v>85</v>
      </c>
      <c r="J24" s="3"/>
      <c r="K24" s="3"/>
      <c r="L24" s="3"/>
      <c r="M24" s="3" t="s">
        <v>59</v>
      </c>
    </row>
    <row r="25" spans="1:13" x14ac:dyDescent="0.3">
      <c r="A25" s="3" t="s">
        <v>8</v>
      </c>
      <c r="B25" s="3" t="s">
        <v>122</v>
      </c>
      <c r="C25" s="6" t="s">
        <v>123</v>
      </c>
      <c r="D25" s="3">
        <v>1</v>
      </c>
      <c r="E25" s="14">
        <v>1590.68</v>
      </c>
      <c r="F25" s="12">
        <f t="shared" si="0"/>
        <v>1590.68</v>
      </c>
      <c r="G25" s="14">
        <v>1590.68</v>
      </c>
      <c r="H25" s="12">
        <f t="shared" si="1"/>
        <v>1590.68</v>
      </c>
      <c r="I25" s="3" t="s">
        <v>55</v>
      </c>
      <c r="J25" s="3" t="s">
        <v>124</v>
      </c>
      <c r="K25" s="6" t="s">
        <v>125</v>
      </c>
      <c r="L25" s="3"/>
      <c r="M25" s="3" t="s">
        <v>59</v>
      </c>
    </row>
    <row r="26" spans="1:13" x14ac:dyDescent="0.3">
      <c r="A26" s="3" t="s">
        <v>8</v>
      </c>
      <c r="B26" s="3" t="s">
        <v>122</v>
      </c>
      <c r="C26" s="6" t="s">
        <v>126</v>
      </c>
      <c r="D26" s="3">
        <v>2</v>
      </c>
      <c r="E26" s="14">
        <v>505.08</v>
      </c>
      <c r="F26" s="12">
        <f t="shared" si="0"/>
        <v>1010.16</v>
      </c>
      <c r="G26" s="14">
        <v>505.08</v>
      </c>
      <c r="H26" s="12">
        <f t="shared" si="1"/>
        <v>1010.16</v>
      </c>
      <c r="I26" s="3" t="s">
        <v>55</v>
      </c>
      <c r="J26" s="3" t="s">
        <v>127</v>
      </c>
      <c r="K26" s="6" t="s">
        <v>128</v>
      </c>
      <c r="L26" s="3"/>
      <c r="M26" s="3" t="s">
        <v>59</v>
      </c>
    </row>
    <row r="27" spans="1:13" x14ac:dyDescent="0.3">
      <c r="A27" s="3" t="s">
        <v>8</v>
      </c>
      <c r="B27" s="3" t="s">
        <v>129</v>
      </c>
      <c r="C27" s="3" t="s">
        <v>130</v>
      </c>
      <c r="D27" s="3">
        <v>1</v>
      </c>
      <c r="E27" s="14">
        <v>189</v>
      </c>
      <c r="F27" s="12">
        <f t="shared" si="0"/>
        <v>189</v>
      </c>
      <c r="G27" s="14">
        <v>189</v>
      </c>
      <c r="H27" s="12">
        <f t="shared" si="1"/>
        <v>189</v>
      </c>
      <c r="I27" s="3" t="s">
        <v>55</v>
      </c>
      <c r="J27" s="3" t="s">
        <v>131</v>
      </c>
      <c r="K27" s="3"/>
      <c r="L27" s="3"/>
      <c r="M27" s="3" t="s">
        <v>59</v>
      </c>
    </row>
    <row r="28" spans="1:13" x14ac:dyDescent="0.3">
      <c r="A28" s="3" t="s">
        <v>8</v>
      </c>
      <c r="B28" s="3" t="s">
        <v>129</v>
      </c>
      <c r="C28" s="6" t="s">
        <v>132</v>
      </c>
      <c r="D28" s="3">
        <v>1</v>
      </c>
      <c r="E28" s="14">
        <v>280</v>
      </c>
      <c r="F28" s="12">
        <f t="shared" si="0"/>
        <v>280</v>
      </c>
      <c r="G28" s="14">
        <v>280</v>
      </c>
      <c r="H28" s="12">
        <f t="shared" si="1"/>
        <v>280</v>
      </c>
      <c r="I28" s="3" t="s">
        <v>85</v>
      </c>
      <c r="J28" s="3"/>
      <c r="K28" s="3"/>
      <c r="L28" s="3"/>
      <c r="M28" s="3" t="s">
        <v>59</v>
      </c>
    </row>
    <row r="29" spans="1:13" x14ac:dyDescent="0.3">
      <c r="A29" s="3" t="s">
        <v>8</v>
      </c>
      <c r="B29" s="3" t="s">
        <v>133</v>
      </c>
      <c r="C29" s="6" t="s">
        <v>134</v>
      </c>
      <c r="D29" s="3">
        <v>1</v>
      </c>
      <c r="E29" s="14">
        <v>1009</v>
      </c>
      <c r="F29" s="12">
        <f t="shared" si="0"/>
        <v>1009</v>
      </c>
      <c r="G29" s="14">
        <v>1009</v>
      </c>
      <c r="H29" s="12">
        <f t="shared" si="1"/>
        <v>1009</v>
      </c>
      <c r="I29" s="3" t="s">
        <v>55</v>
      </c>
      <c r="J29" s="3" t="s">
        <v>135</v>
      </c>
      <c r="K29" s="6" t="s">
        <v>136</v>
      </c>
      <c r="L29" s="3"/>
      <c r="M29" s="3" t="s">
        <v>59</v>
      </c>
    </row>
    <row r="30" spans="1:13" x14ac:dyDescent="0.3">
      <c r="A30" s="3" t="s">
        <v>8</v>
      </c>
      <c r="B30" s="3" t="s">
        <v>137</v>
      </c>
      <c r="C30" s="6" t="s">
        <v>138</v>
      </c>
      <c r="D30" s="3">
        <v>2</v>
      </c>
      <c r="E30" s="14">
        <v>761.86</v>
      </c>
      <c r="F30" s="12">
        <f t="shared" si="0"/>
        <v>1523.72</v>
      </c>
      <c r="G30" s="14">
        <v>761.86</v>
      </c>
      <c r="H30" s="12">
        <f t="shared" si="1"/>
        <v>1523.72</v>
      </c>
      <c r="I30" s="3" t="s">
        <v>55</v>
      </c>
      <c r="J30" s="3" t="s">
        <v>139</v>
      </c>
      <c r="K30" s="3"/>
      <c r="L30" s="3"/>
      <c r="M30" s="3" t="s">
        <v>59</v>
      </c>
    </row>
    <row r="31" spans="1:13" x14ac:dyDescent="0.3">
      <c r="A31" s="3" t="s">
        <v>9</v>
      </c>
      <c r="B31" s="3" t="s">
        <v>140</v>
      </c>
      <c r="C31" s="3" t="s">
        <v>141</v>
      </c>
      <c r="D31" s="3">
        <v>4</v>
      </c>
      <c r="E31" s="14">
        <v>72.459999999999994</v>
      </c>
      <c r="F31" s="12">
        <f t="shared" si="0"/>
        <v>289.83999999999997</v>
      </c>
      <c r="G31" s="14">
        <v>72.459999999999994</v>
      </c>
      <c r="H31" s="12">
        <f t="shared" si="1"/>
        <v>289.83999999999997</v>
      </c>
      <c r="I31" s="3" t="s">
        <v>55</v>
      </c>
      <c r="J31" s="3" t="s">
        <v>142</v>
      </c>
      <c r="K31" s="3" t="s">
        <v>143</v>
      </c>
      <c r="L31" s="3"/>
      <c r="M31" s="3" t="s">
        <v>59</v>
      </c>
    </row>
    <row r="32" spans="1:13" x14ac:dyDescent="0.3">
      <c r="A32" s="3" t="s">
        <v>9</v>
      </c>
      <c r="B32" s="3" t="s">
        <v>144</v>
      </c>
      <c r="C32" s="3" t="s">
        <v>145</v>
      </c>
      <c r="D32" s="3">
        <v>4</v>
      </c>
      <c r="E32" s="14">
        <v>30</v>
      </c>
      <c r="F32" s="12">
        <f t="shared" si="0"/>
        <v>120</v>
      </c>
      <c r="G32" s="14">
        <v>30</v>
      </c>
      <c r="H32" s="12">
        <f t="shared" si="1"/>
        <v>120</v>
      </c>
      <c r="I32" s="3" t="s">
        <v>85</v>
      </c>
      <c r="J32" s="3"/>
      <c r="K32" s="3"/>
      <c r="L32" s="3"/>
      <c r="M32" s="3" t="s">
        <v>59</v>
      </c>
    </row>
    <row r="33" spans="1:13" x14ac:dyDescent="0.3">
      <c r="A33" s="3" t="s">
        <v>9</v>
      </c>
      <c r="B33" s="3" t="s">
        <v>146</v>
      </c>
      <c r="C33" s="3" t="s">
        <v>147</v>
      </c>
      <c r="D33" s="3">
        <v>3</v>
      </c>
      <c r="E33" s="14">
        <v>80</v>
      </c>
      <c r="F33" s="12">
        <f t="shared" si="0"/>
        <v>240</v>
      </c>
      <c r="G33" s="14">
        <v>80</v>
      </c>
      <c r="H33" s="12">
        <f t="shared" si="1"/>
        <v>240</v>
      </c>
      <c r="I33" s="3" t="s">
        <v>85</v>
      </c>
      <c r="J33" s="3"/>
      <c r="K33" s="3" t="s">
        <v>148</v>
      </c>
      <c r="L33" s="3"/>
      <c r="M33" s="3" t="s">
        <v>59</v>
      </c>
    </row>
    <row r="34" spans="1:13" x14ac:dyDescent="0.3">
      <c r="A34" s="3" t="s">
        <v>9</v>
      </c>
      <c r="B34" s="3" t="s">
        <v>149</v>
      </c>
      <c r="C34" s="6" t="s">
        <v>150</v>
      </c>
      <c r="D34" s="3">
        <v>1</v>
      </c>
      <c r="E34" s="14">
        <v>1200</v>
      </c>
      <c r="F34" s="12">
        <f t="shared" ref="F34:F65" si="2">D34*E34</f>
        <v>1200</v>
      </c>
      <c r="G34" s="14">
        <v>1200</v>
      </c>
      <c r="H34" s="12">
        <f t="shared" ref="H34:H65" si="3">D34*G34</f>
        <v>1200</v>
      </c>
      <c r="I34" s="3" t="s">
        <v>85</v>
      </c>
      <c r="J34" s="3"/>
      <c r="K34" s="3"/>
      <c r="L34" s="3"/>
      <c r="M34" s="3" t="s">
        <v>59</v>
      </c>
    </row>
    <row r="35" spans="1:13" ht="28.8" x14ac:dyDescent="0.3">
      <c r="A35" s="3" t="s">
        <v>10</v>
      </c>
      <c r="B35" s="3" t="s">
        <v>151</v>
      </c>
      <c r="C35" s="6" t="s">
        <v>152</v>
      </c>
      <c r="D35" s="3">
        <v>2</v>
      </c>
      <c r="E35" s="14">
        <v>6403.88</v>
      </c>
      <c r="F35" s="12">
        <f t="shared" si="2"/>
        <v>12807.76</v>
      </c>
      <c r="G35" s="14">
        <v>4853.88</v>
      </c>
      <c r="H35" s="12">
        <f t="shared" si="3"/>
        <v>9707.76</v>
      </c>
      <c r="I35" s="3" t="s">
        <v>92</v>
      </c>
      <c r="J35" s="3" t="s">
        <v>153</v>
      </c>
      <c r="K35" s="6" t="s">
        <v>154</v>
      </c>
      <c r="L35" s="6" t="s">
        <v>155</v>
      </c>
      <c r="M35" s="3" t="s">
        <v>156</v>
      </c>
    </row>
    <row r="36" spans="1:13" ht="28.8" x14ac:dyDescent="0.3">
      <c r="A36" s="3" t="s">
        <v>10</v>
      </c>
      <c r="B36" s="3" t="s">
        <v>157</v>
      </c>
      <c r="C36" s="3" t="s">
        <v>158</v>
      </c>
      <c r="D36" s="3">
        <v>2</v>
      </c>
      <c r="E36" s="14">
        <v>1639.4</v>
      </c>
      <c r="F36" s="12">
        <f t="shared" si="2"/>
        <v>3278.8</v>
      </c>
      <c r="G36" s="14">
        <v>1174.83</v>
      </c>
      <c r="H36" s="12">
        <f t="shared" si="3"/>
        <v>2349.66</v>
      </c>
      <c r="I36" s="3" t="s">
        <v>92</v>
      </c>
      <c r="J36" s="3" t="s">
        <v>153</v>
      </c>
      <c r="K36" s="6" t="s">
        <v>159</v>
      </c>
      <c r="L36" s="6" t="s">
        <v>155</v>
      </c>
      <c r="M36" s="3" t="s">
        <v>156</v>
      </c>
    </row>
    <row r="37" spans="1:13" x14ac:dyDescent="0.3">
      <c r="A37" s="3" t="s">
        <v>10</v>
      </c>
      <c r="B37" s="3" t="s">
        <v>160</v>
      </c>
      <c r="C37" s="3" t="s">
        <v>161</v>
      </c>
      <c r="D37" s="3">
        <v>1</v>
      </c>
      <c r="E37" s="14">
        <v>679.97</v>
      </c>
      <c r="F37" s="12">
        <f t="shared" si="2"/>
        <v>679.97</v>
      </c>
      <c r="G37" s="14">
        <v>480.64</v>
      </c>
      <c r="H37" s="12">
        <f t="shared" si="3"/>
        <v>480.64</v>
      </c>
      <c r="I37" s="3" t="s">
        <v>92</v>
      </c>
      <c r="J37" s="3" t="s">
        <v>153</v>
      </c>
      <c r="K37" s="6" t="s">
        <v>162</v>
      </c>
      <c r="L37" s="6" t="s">
        <v>155</v>
      </c>
      <c r="M37" s="3" t="s">
        <v>156</v>
      </c>
    </row>
    <row r="38" spans="1:13" ht="28.8" x14ac:dyDescent="0.3">
      <c r="A38" s="3" t="s">
        <v>10</v>
      </c>
      <c r="B38" s="3" t="s">
        <v>163</v>
      </c>
      <c r="C38" s="3" t="s">
        <v>164</v>
      </c>
      <c r="D38" s="3">
        <v>1</v>
      </c>
      <c r="E38" s="14">
        <v>7690.18</v>
      </c>
      <c r="F38" s="12">
        <f t="shared" si="2"/>
        <v>7690.18</v>
      </c>
      <c r="G38" s="14">
        <v>7253.17</v>
      </c>
      <c r="H38" s="12">
        <f t="shared" si="3"/>
        <v>7253.17</v>
      </c>
      <c r="I38" s="3" t="s">
        <v>92</v>
      </c>
      <c r="J38" s="3" t="s">
        <v>165</v>
      </c>
      <c r="K38" s="6" t="s">
        <v>166</v>
      </c>
      <c r="L38" s="6" t="s">
        <v>155</v>
      </c>
      <c r="M38" s="3" t="s">
        <v>156</v>
      </c>
    </row>
    <row r="39" spans="1:13" x14ac:dyDescent="0.3">
      <c r="A39" s="3" t="s">
        <v>10</v>
      </c>
      <c r="B39" s="3" t="s">
        <v>167</v>
      </c>
      <c r="C39" s="3" t="s">
        <v>168</v>
      </c>
      <c r="D39" s="3">
        <v>4</v>
      </c>
      <c r="E39" s="14">
        <v>796.53</v>
      </c>
      <c r="F39" s="12">
        <f t="shared" si="2"/>
        <v>3186.12</v>
      </c>
      <c r="G39" s="14">
        <v>742.56</v>
      </c>
      <c r="H39" s="12">
        <f t="shared" si="3"/>
        <v>2970.24</v>
      </c>
      <c r="I39" s="3" t="s">
        <v>92</v>
      </c>
      <c r="J39" s="3" t="s">
        <v>169</v>
      </c>
      <c r="K39" s="6" t="s">
        <v>170</v>
      </c>
      <c r="L39" s="6" t="s">
        <v>155</v>
      </c>
      <c r="M39" s="3" t="s">
        <v>59</v>
      </c>
    </row>
    <row r="40" spans="1:13" x14ac:dyDescent="0.3">
      <c r="A40" s="3" t="s">
        <v>10</v>
      </c>
      <c r="B40" s="3" t="s">
        <v>171</v>
      </c>
      <c r="C40" s="3" t="s">
        <v>172</v>
      </c>
      <c r="D40" s="3">
        <v>1</v>
      </c>
      <c r="E40" s="14">
        <v>4413.47</v>
      </c>
      <c r="F40" s="12">
        <f t="shared" si="2"/>
        <v>4413.47</v>
      </c>
      <c r="G40" s="14">
        <v>3304.97</v>
      </c>
      <c r="H40" s="12">
        <f t="shared" si="3"/>
        <v>3304.97</v>
      </c>
      <c r="I40" s="3" t="s">
        <v>92</v>
      </c>
      <c r="J40" s="3" t="s">
        <v>169</v>
      </c>
      <c r="K40" s="6" t="s">
        <v>173</v>
      </c>
      <c r="L40" s="6" t="s">
        <v>155</v>
      </c>
      <c r="M40" s="3" t="s">
        <v>59</v>
      </c>
    </row>
    <row r="41" spans="1:13" ht="28.8" x14ac:dyDescent="0.3">
      <c r="A41" s="3" t="s">
        <v>10</v>
      </c>
      <c r="B41" s="3" t="s">
        <v>174</v>
      </c>
      <c r="C41" s="3" t="s">
        <v>175</v>
      </c>
      <c r="D41" s="3">
        <v>1</v>
      </c>
      <c r="E41" s="14">
        <v>7483.33</v>
      </c>
      <c r="F41" s="12">
        <f t="shared" si="2"/>
        <v>7483.33</v>
      </c>
      <c r="G41" s="14">
        <v>5249.67</v>
      </c>
      <c r="H41" s="12">
        <f t="shared" si="3"/>
        <v>5249.67</v>
      </c>
      <c r="I41" s="3" t="s">
        <v>92</v>
      </c>
      <c r="J41" s="3" t="s">
        <v>169</v>
      </c>
      <c r="K41" s="6" t="s">
        <v>176</v>
      </c>
      <c r="L41" s="6" t="s">
        <v>155</v>
      </c>
      <c r="M41" s="3" t="s">
        <v>59</v>
      </c>
    </row>
    <row r="42" spans="1:13" ht="28.8" x14ac:dyDescent="0.3">
      <c r="A42" s="3" t="s">
        <v>10</v>
      </c>
      <c r="B42" s="3" t="s">
        <v>177</v>
      </c>
      <c r="C42" s="3" t="s">
        <v>178</v>
      </c>
      <c r="D42" s="3">
        <v>1</v>
      </c>
      <c r="E42" s="14">
        <v>4971.0600000000004</v>
      </c>
      <c r="F42" s="12">
        <f t="shared" si="2"/>
        <v>4971.0600000000004</v>
      </c>
      <c r="G42" s="14">
        <v>3500.82</v>
      </c>
      <c r="H42" s="12">
        <f t="shared" si="3"/>
        <v>3500.82</v>
      </c>
      <c r="I42" s="3" t="s">
        <v>92</v>
      </c>
      <c r="J42" s="3" t="s">
        <v>169</v>
      </c>
      <c r="K42" s="6" t="s">
        <v>179</v>
      </c>
      <c r="L42" s="6" t="s">
        <v>155</v>
      </c>
      <c r="M42" s="3" t="s">
        <v>59</v>
      </c>
    </row>
    <row r="43" spans="1:13" x14ac:dyDescent="0.3">
      <c r="A43" s="3" t="s">
        <v>10</v>
      </c>
      <c r="B43" s="3" t="s">
        <v>180</v>
      </c>
      <c r="C43" s="3" t="s">
        <v>181</v>
      </c>
      <c r="D43" s="3">
        <v>8</v>
      </c>
      <c r="E43" s="14">
        <v>279.14999999999998</v>
      </c>
      <c r="F43" s="12">
        <f t="shared" si="2"/>
        <v>2233.1999999999998</v>
      </c>
      <c r="G43" s="14">
        <v>186.44</v>
      </c>
      <c r="H43" s="12">
        <f t="shared" si="3"/>
        <v>1491.52</v>
      </c>
      <c r="I43" s="3" t="s">
        <v>92</v>
      </c>
      <c r="J43" s="3" t="s">
        <v>182</v>
      </c>
      <c r="K43" s="6" t="s">
        <v>183</v>
      </c>
      <c r="L43" s="6" t="s">
        <v>155</v>
      </c>
      <c r="M43" s="3" t="s">
        <v>59</v>
      </c>
    </row>
    <row r="44" spans="1:13" x14ac:dyDescent="0.3">
      <c r="A44" s="3" t="s">
        <v>10</v>
      </c>
      <c r="B44" s="3" t="s">
        <v>184</v>
      </c>
      <c r="C44" s="3" t="s">
        <v>185</v>
      </c>
      <c r="D44" s="3">
        <v>1</v>
      </c>
      <c r="E44" s="14">
        <v>390.38</v>
      </c>
      <c r="F44" s="12">
        <f t="shared" si="2"/>
        <v>390.38</v>
      </c>
      <c r="G44" s="14">
        <v>292.11</v>
      </c>
      <c r="H44" s="12">
        <f t="shared" si="3"/>
        <v>292.11</v>
      </c>
      <c r="I44" s="3" t="s">
        <v>92</v>
      </c>
      <c r="J44" s="3" t="s">
        <v>165</v>
      </c>
      <c r="K44" s="6" t="s">
        <v>186</v>
      </c>
      <c r="L44" s="6" t="s">
        <v>155</v>
      </c>
      <c r="M44" s="3" t="s">
        <v>59</v>
      </c>
    </row>
    <row r="45" spans="1:13" x14ac:dyDescent="0.3">
      <c r="A45" s="3" t="s">
        <v>10</v>
      </c>
      <c r="B45" s="3" t="s">
        <v>187</v>
      </c>
      <c r="C45" s="3" t="s">
        <v>188</v>
      </c>
      <c r="D45" s="3">
        <v>2</v>
      </c>
      <c r="E45" s="14">
        <v>397.25</v>
      </c>
      <c r="F45" s="12">
        <f t="shared" si="2"/>
        <v>794.5</v>
      </c>
      <c r="G45" s="14">
        <v>254.89</v>
      </c>
      <c r="H45" s="12">
        <f t="shared" si="3"/>
        <v>509.78</v>
      </c>
      <c r="I45" s="3" t="s">
        <v>92</v>
      </c>
      <c r="J45" s="3" t="s">
        <v>165</v>
      </c>
      <c r="K45" s="6" t="s">
        <v>189</v>
      </c>
      <c r="L45" s="6" t="s">
        <v>155</v>
      </c>
      <c r="M45" s="3" t="s">
        <v>59</v>
      </c>
    </row>
    <row r="46" spans="1:13" x14ac:dyDescent="0.3">
      <c r="A46" s="3" t="s">
        <v>10</v>
      </c>
      <c r="B46" s="3" t="s">
        <v>190</v>
      </c>
      <c r="C46" s="3" t="s">
        <v>191</v>
      </c>
      <c r="D46" s="3">
        <v>1</v>
      </c>
      <c r="E46" s="14">
        <v>780.25</v>
      </c>
      <c r="F46" s="12">
        <f t="shared" si="2"/>
        <v>780.25</v>
      </c>
      <c r="G46" s="14">
        <v>637.94000000000005</v>
      </c>
      <c r="H46" s="12">
        <f t="shared" si="3"/>
        <v>637.94000000000005</v>
      </c>
      <c r="I46" s="3" t="s">
        <v>92</v>
      </c>
      <c r="J46" s="3" t="s">
        <v>165</v>
      </c>
      <c r="K46" s="6" t="s">
        <v>192</v>
      </c>
      <c r="L46" s="6" t="s">
        <v>155</v>
      </c>
      <c r="M46" s="3" t="s">
        <v>59</v>
      </c>
    </row>
    <row r="47" spans="1:13" x14ac:dyDescent="0.3">
      <c r="A47" s="3" t="s">
        <v>10</v>
      </c>
      <c r="B47" s="3" t="s">
        <v>193</v>
      </c>
      <c r="C47" s="3" t="s">
        <v>194</v>
      </c>
      <c r="D47" s="3">
        <v>1</v>
      </c>
      <c r="E47" s="14">
        <v>1176.92</v>
      </c>
      <c r="F47" s="12">
        <f t="shared" si="2"/>
        <v>1176.92</v>
      </c>
      <c r="G47" s="14">
        <v>777.62</v>
      </c>
      <c r="H47" s="12">
        <f t="shared" si="3"/>
        <v>777.62</v>
      </c>
      <c r="I47" s="3" t="s">
        <v>92</v>
      </c>
      <c r="J47" s="3" t="s">
        <v>153</v>
      </c>
      <c r="K47" s="6" t="s">
        <v>195</v>
      </c>
      <c r="L47" s="6" t="s">
        <v>155</v>
      </c>
      <c r="M47" s="3" t="s">
        <v>59</v>
      </c>
    </row>
    <row r="48" spans="1:13" x14ac:dyDescent="0.3">
      <c r="A48" s="3" t="s">
        <v>10</v>
      </c>
      <c r="B48" s="3" t="s">
        <v>196</v>
      </c>
      <c r="C48" s="3" t="s">
        <v>197</v>
      </c>
      <c r="D48" s="3">
        <v>1</v>
      </c>
      <c r="E48" s="14">
        <v>3428.3</v>
      </c>
      <c r="F48" s="12">
        <f t="shared" si="2"/>
        <v>3428.3</v>
      </c>
      <c r="G48" s="14">
        <v>2420.5300000000002</v>
      </c>
      <c r="H48" s="12">
        <f t="shared" si="3"/>
        <v>2420.5300000000002</v>
      </c>
      <c r="I48" s="3" t="s">
        <v>92</v>
      </c>
      <c r="J48" s="3" t="s">
        <v>165</v>
      </c>
      <c r="K48" s="6" t="s">
        <v>198</v>
      </c>
      <c r="L48" s="6" t="s">
        <v>155</v>
      </c>
      <c r="M48" s="3" t="s">
        <v>59</v>
      </c>
    </row>
    <row r="49" spans="1:13" x14ac:dyDescent="0.3">
      <c r="A49" s="3" t="s">
        <v>10</v>
      </c>
      <c r="B49" s="3" t="s">
        <v>199</v>
      </c>
      <c r="C49" s="3" t="s">
        <v>200</v>
      </c>
      <c r="D49" s="3">
        <v>1</v>
      </c>
      <c r="E49" s="14">
        <v>404.17</v>
      </c>
      <c r="F49" s="12">
        <f t="shared" si="2"/>
        <v>404.17</v>
      </c>
      <c r="G49" s="14">
        <v>331.46</v>
      </c>
      <c r="H49" s="12">
        <f t="shared" si="3"/>
        <v>331.46</v>
      </c>
      <c r="I49" s="3" t="s">
        <v>92</v>
      </c>
      <c r="J49" s="3" t="s">
        <v>182</v>
      </c>
      <c r="K49" s="6" t="s">
        <v>201</v>
      </c>
      <c r="L49" s="6" t="s">
        <v>155</v>
      </c>
      <c r="M49" s="3" t="s">
        <v>59</v>
      </c>
    </row>
    <row r="50" spans="1:13" x14ac:dyDescent="0.3">
      <c r="A50" s="3" t="s">
        <v>10</v>
      </c>
      <c r="B50" s="3" t="s">
        <v>133</v>
      </c>
      <c r="C50" s="3" t="s">
        <v>202</v>
      </c>
      <c r="D50" s="3">
        <v>1</v>
      </c>
      <c r="E50" s="14">
        <v>2036.2</v>
      </c>
      <c r="F50" s="12">
        <f t="shared" si="2"/>
        <v>2036.2</v>
      </c>
      <c r="G50" s="14">
        <v>1461.89</v>
      </c>
      <c r="H50" s="12">
        <f t="shared" si="3"/>
        <v>1461.89</v>
      </c>
      <c r="I50" s="3" t="s">
        <v>92</v>
      </c>
      <c r="J50" s="3" t="s">
        <v>182</v>
      </c>
      <c r="K50" s="6" t="s">
        <v>203</v>
      </c>
      <c r="L50" s="6" t="s">
        <v>155</v>
      </c>
      <c r="M50" s="3" t="s">
        <v>59</v>
      </c>
    </row>
    <row r="51" spans="1:13" x14ac:dyDescent="0.3">
      <c r="A51" s="3" t="s">
        <v>10</v>
      </c>
      <c r="B51" s="3" t="s">
        <v>204</v>
      </c>
      <c r="C51" s="3" t="s">
        <v>205</v>
      </c>
      <c r="D51" s="3">
        <v>1</v>
      </c>
      <c r="E51" s="14">
        <v>235.31</v>
      </c>
      <c r="F51" s="12">
        <f t="shared" si="2"/>
        <v>235.31</v>
      </c>
      <c r="G51" s="14">
        <v>171.05</v>
      </c>
      <c r="H51" s="12">
        <f t="shared" si="3"/>
        <v>171.05</v>
      </c>
      <c r="I51" s="3" t="s">
        <v>92</v>
      </c>
      <c r="J51" s="3" t="s">
        <v>165</v>
      </c>
      <c r="K51" s="6" t="s">
        <v>206</v>
      </c>
      <c r="L51" s="6" t="s">
        <v>155</v>
      </c>
      <c r="M51" s="3" t="s">
        <v>59</v>
      </c>
    </row>
    <row r="52" spans="1:13" x14ac:dyDescent="0.3">
      <c r="A52" s="3" t="s">
        <v>10</v>
      </c>
      <c r="B52" s="3" t="s">
        <v>207</v>
      </c>
      <c r="C52" s="3" t="s">
        <v>208</v>
      </c>
      <c r="D52" s="3">
        <v>1</v>
      </c>
      <c r="E52" s="14">
        <v>1272.9000000000001</v>
      </c>
      <c r="F52" s="12">
        <f t="shared" si="2"/>
        <v>1272.9000000000001</v>
      </c>
      <c r="G52" s="14">
        <v>930.93</v>
      </c>
      <c r="H52" s="12">
        <f t="shared" si="3"/>
        <v>930.93</v>
      </c>
      <c r="I52" s="3" t="s">
        <v>92</v>
      </c>
      <c r="J52" s="3" t="s">
        <v>165</v>
      </c>
      <c r="K52" s="6" t="s">
        <v>209</v>
      </c>
      <c r="L52" s="6" t="s">
        <v>155</v>
      </c>
      <c r="M52" s="3" t="s">
        <v>59</v>
      </c>
    </row>
    <row r="53" spans="1:13" x14ac:dyDescent="0.3">
      <c r="A53" s="3" t="s">
        <v>10</v>
      </c>
      <c r="B53" s="3" t="s">
        <v>210</v>
      </c>
      <c r="C53" s="3" t="s">
        <v>211</v>
      </c>
      <c r="D53" s="3">
        <v>1</v>
      </c>
      <c r="E53" s="14">
        <v>578.12</v>
      </c>
      <c r="F53" s="12">
        <f t="shared" si="2"/>
        <v>578.12</v>
      </c>
      <c r="G53" s="14">
        <v>391.71</v>
      </c>
      <c r="H53" s="12">
        <f t="shared" si="3"/>
        <v>391.71</v>
      </c>
      <c r="I53" s="3" t="s">
        <v>92</v>
      </c>
      <c r="J53" s="3" t="s">
        <v>182</v>
      </c>
      <c r="K53" s="6" t="s">
        <v>212</v>
      </c>
      <c r="L53" s="6" t="s">
        <v>155</v>
      </c>
      <c r="M53" s="3" t="s">
        <v>59</v>
      </c>
    </row>
    <row r="54" spans="1:13" ht="28.8" x14ac:dyDescent="0.3">
      <c r="A54" s="3" t="s">
        <v>10</v>
      </c>
      <c r="B54" s="3" t="s">
        <v>213</v>
      </c>
      <c r="C54" s="3" t="s">
        <v>214</v>
      </c>
      <c r="D54" s="3">
        <v>1</v>
      </c>
      <c r="E54" s="14">
        <v>630.72</v>
      </c>
      <c r="F54" s="12">
        <f t="shared" si="2"/>
        <v>630.72</v>
      </c>
      <c r="G54" s="14">
        <v>446.68</v>
      </c>
      <c r="H54" s="12">
        <f t="shared" si="3"/>
        <v>446.68</v>
      </c>
      <c r="I54" s="3" t="s">
        <v>92</v>
      </c>
      <c r="J54" s="3" t="s">
        <v>165</v>
      </c>
      <c r="K54" s="6" t="s">
        <v>215</v>
      </c>
      <c r="L54" s="6" t="s">
        <v>155</v>
      </c>
      <c r="M54" s="3" t="s">
        <v>59</v>
      </c>
    </row>
    <row r="55" spans="1:13" ht="28.8" x14ac:dyDescent="0.3">
      <c r="A55" s="3" t="s">
        <v>10</v>
      </c>
      <c r="B55" s="3" t="s">
        <v>216</v>
      </c>
      <c r="C55" s="3" t="s">
        <v>217</v>
      </c>
      <c r="D55" s="3">
        <v>1</v>
      </c>
      <c r="E55" s="14">
        <v>448.44</v>
      </c>
      <c r="F55" s="12">
        <f t="shared" si="2"/>
        <v>448.44</v>
      </c>
      <c r="G55" s="14">
        <v>383.52</v>
      </c>
      <c r="H55" s="12">
        <f t="shared" si="3"/>
        <v>383.52</v>
      </c>
      <c r="I55" s="3" t="s">
        <v>92</v>
      </c>
      <c r="J55" s="3" t="s">
        <v>165</v>
      </c>
      <c r="K55" s="6" t="s">
        <v>218</v>
      </c>
      <c r="L55" s="6" t="s">
        <v>155</v>
      </c>
      <c r="M55" s="3" t="s">
        <v>59</v>
      </c>
    </row>
    <row r="56" spans="1:13" x14ac:dyDescent="0.3">
      <c r="A56" s="3" t="s">
        <v>10</v>
      </c>
      <c r="B56" s="3" t="s">
        <v>219</v>
      </c>
      <c r="C56" s="3" t="s">
        <v>220</v>
      </c>
      <c r="D56" s="3">
        <v>1</v>
      </c>
      <c r="E56" s="14">
        <v>532.75</v>
      </c>
      <c r="F56" s="12">
        <f t="shared" si="2"/>
        <v>532.75</v>
      </c>
      <c r="G56" s="14">
        <v>462.6</v>
      </c>
      <c r="H56" s="12">
        <f t="shared" si="3"/>
        <v>462.6</v>
      </c>
      <c r="I56" s="3" t="s">
        <v>92</v>
      </c>
      <c r="J56" s="3" t="s">
        <v>169</v>
      </c>
      <c r="K56" s="6" t="s">
        <v>221</v>
      </c>
      <c r="L56" s="6" t="s">
        <v>155</v>
      </c>
      <c r="M56" s="3" t="s">
        <v>59</v>
      </c>
    </row>
    <row r="57" spans="1:13" x14ac:dyDescent="0.3">
      <c r="A57" s="3" t="s">
        <v>10</v>
      </c>
      <c r="B57" s="3" t="s">
        <v>222</v>
      </c>
      <c r="C57" s="3" t="s">
        <v>223</v>
      </c>
      <c r="D57" s="3">
        <v>1</v>
      </c>
      <c r="E57" s="14">
        <v>1138.6099999999999</v>
      </c>
      <c r="F57" s="12">
        <f t="shared" si="2"/>
        <v>1138.6099999999999</v>
      </c>
      <c r="G57" s="14">
        <v>829.88</v>
      </c>
      <c r="H57" s="12">
        <f t="shared" si="3"/>
        <v>829.88</v>
      </c>
      <c r="I57" s="3" t="s">
        <v>92</v>
      </c>
      <c r="J57" s="3" t="s">
        <v>169</v>
      </c>
      <c r="K57" s="6" t="s">
        <v>224</v>
      </c>
      <c r="L57" s="6" t="s">
        <v>155</v>
      </c>
      <c r="M57" s="3" t="s">
        <v>59</v>
      </c>
    </row>
    <row r="58" spans="1:13" x14ac:dyDescent="0.3">
      <c r="A58" s="3" t="s">
        <v>10</v>
      </c>
      <c r="B58" s="3" t="s">
        <v>225</v>
      </c>
      <c r="C58" s="3" t="s">
        <v>226</v>
      </c>
      <c r="D58" s="3">
        <v>1</v>
      </c>
      <c r="E58" s="14">
        <v>1736.58</v>
      </c>
      <c r="F58" s="12">
        <f t="shared" si="2"/>
        <v>1736.58</v>
      </c>
      <c r="G58" s="14">
        <v>1245.06</v>
      </c>
      <c r="H58" s="12">
        <f t="shared" si="3"/>
        <v>1245.06</v>
      </c>
      <c r="I58" s="3" t="s">
        <v>92</v>
      </c>
      <c r="J58" s="3" t="s">
        <v>169</v>
      </c>
      <c r="K58" s="6" t="s">
        <v>227</v>
      </c>
      <c r="L58" s="6" t="s">
        <v>155</v>
      </c>
      <c r="M58" s="3" t="s">
        <v>59</v>
      </c>
    </row>
    <row r="59" spans="1:13" x14ac:dyDescent="0.3">
      <c r="A59" s="3" t="s">
        <v>10</v>
      </c>
      <c r="B59" s="3" t="s">
        <v>129</v>
      </c>
      <c r="C59" s="3" t="s">
        <v>228</v>
      </c>
      <c r="D59" s="3">
        <v>1</v>
      </c>
      <c r="E59" s="14">
        <v>1117.9000000000001</v>
      </c>
      <c r="F59" s="12">
        <f t="shared" si="2"/>
        <v>1117.9000000000001</v>
      </c>
      <c r="G59" s="14">
        <v>747.01</v>
      </c>
      <c r="H59" s="12">
        <f t="shared" si="3"/>
        <v>747.01</v>
      </c>
      <c r="I59" s="3" t="s">
        <v>92</v>
      </c>
      <c r="J59" s="3" t="s">
        <v>182</v>
      </c>
      <c r="K59" s="6" t="s">
        <v>229</v>
      </c>
      <c r="L59" s="6" t="s">
        <v>155</v>
      </c>
      <c r="M59" s="3" t="s">
        <v>59</v>
      </c>
    </row>
    <row r="60" spans="1:13" x14ac:dyDescent="0.3">
      <c r="A60" s="3" t="s">
        <v>10</v>
      </c>
      <c r="B60" s="3" t="s">
        <v>230</v>
      </c>
      <c r="C60" s="3" t="s">
        <v>231</v>
      </c>
      <c r="D60" s="3">
        <v>1</v>
      </c>
      <c r="E60" s="14">
        <v>689.79</v>
      </c>
      <c r="F60" s="12">
        <f t="shared" si="2"/>
        <v>689.79</v>
      </c>
      <c r="G60" s="14">
        <v>541.55999999999995</v>
      </c>
      <c r="H60" s="12">
        <f t="shared" si="3"/>
        <v>541.55999999999995</v>
      </c>
      <c r="I60" s="3" t="s">
        <v>92</v>
      </c>
      <c r="J60" s="3" t="s">
        <v>169</v>
      </c>
      <c r="K60" s="6" t="s">
        <v>232</v>
      </c>
      <c r="L60" s="6" t="s">
        <v>155</v>
      </c>
      <c r="M60" s="3" t="s">
        <v>59</v>
      </c>
    </row>
    <row r="61" spans="1:13" x14ac:dyDescent="0.3">
      <c r="A61" s="3" t="s">
        <v>10</v>
      </c>
      <c r="B61" s="3" t="s">
        <v>233</v>
      </c>
      <c r="C61" s="3" t="s">
        <v>234</v>
      </c>
      <c r="D61" s="3">
        <v>4</v>
      </c>
      <c r="E61" s="14">
        <v>479.95</v>
      </c>
      <c r="F61" s="12">
        <f t="shared" si="2"/>
        <v>1919.8</v>
      </c>
      <c r="G61" s="14">
        <v>333.91</v>
      </c>
      <c r="H61" s="12">
        <f t="shared" si="3"/>
        <v>1335.64</v>
      </c>
      <c r="I61" s="3" t="s">
        <v>92</v>
      </c>
      <c r="J61" s="3" t="s">
        <v>165</v>
      </c>
      <c r="K61" s="6" t="s">
        <v>235</v>
      </c>
      <c r="L61" s="6" t="s">
        <v>155</v>
      </c>
      <c r="M61" s="3" t="s">
        <v>59</v>
      </c>
    </row>
    <row r="62" spans="1:13" ht="28.8" x14ac:dyDescent="0.3">
      <c r="A62" s="3" t="s">
        <v>10</v>
      </c>
      <c r="B62" s="3" t="s">
        <v>236</v>
      </c>
      <c r="C62" s="6" t="s">
        <v>237</v>
      </c>
      <c r="D62" s="3">
        <v>2</v>
      </c>
      <c r="E62" s="14">
        <v>4933.82</v>
      </c>
      <c r="F62" s="12">
        <f t="shared" si="2"/>
        <v>9867.64</v>
      </c>
      <c r="G62" s="14">
        <v>1494.14</v>
      </c>
      <c r="H62" s="12">
        <f t="shared" si="3"/>
        <v>2988.28</v>
      </c>
      <c r="I62" s="3" t="s">
        <v>92</v>
      </c>
      <c r="J62" s="3" t="s">
        <v>238</v>
      </c>
      <c r="K62" s="6" t="s">
        <v>239</v>
      </c>
      <c r="L62" s="6" t="s">
        <v>240</v>
      </c>
      <c r="M62" s="3" t="s">
        <v>59</v>
      </c>
    </row>
    <row r="63" spans="1:13" x14ac:dyDescent="0.3">
      <c r="A63" s="3" t="s">
        <v>11</v>
      </c>
      <c r="B63" s="3" t="s">
        <v>241</v>
      </c>
      <c r="C63" s="6" t="s">
        <v>242</v>
      </c>
      <c r="D63" s="3">
        <v>2</v>
      </c>
      <c r="E63" s="14">
        <v>500</v>
      </c>
      <c r="F63" s="12">
        <f t="shared" si="2"/>
        <v>1000</v>
      </c>
      <c r="G63" s="14">
        <v>450</v>
      </c>
      <c r="H63" s="12">
        <f t="shared" si="3"/>
        <v>900</v>
      </c>
      <c r="I63" s="3" t="s">
        <v>85</v>
      </c>
      <c r="J63" s="3"/>
      <c r="K63" s="6" t="s">
        <v>243</v>
      </c>
      <c r="L63" s="3" t="s">
        <v>244</v>
      </c>
      <c r="M63" s="3" t="s">
        <v>156</v>
      </c>
    </row>
    <row r="64" spans="1:13" x14ac:dyDescent="0.3">
      <c r="A64" s="3" t="s">
        <v>10</v>
      </c>
      <c r="B64" s="3" t="s">
        <v>245</v>
      </c>
      <c r="C64" s="6" t="s">
        <v>246</v>
      </c>
      <c r="D64" s="3">
        <v>1</v>
      </c>
      <c r="E64" s="14">
        <v>249</v>
      </c>
      <c r="F64" s="12">
        <f t="shared" si="2"/>
        <v>249</v>
      </c>
      <c r="G64" s="14">
        <v>249</v>
      </c>
      <c r="H64" s="12">
        <f t="shared" si="3"/>
        <v>249</v>
      </c>
      <c r="I64" s="3" t="s">
        <v>55</v>
      </c>
      <c r="J64" s="3" t="s">
        <v>247</v>
      </c>
      <c r="K64" s="3"/>
      <c r="L64" s="3"/>
      <c r="M64" s="3" t="s">
        <v>59</v>
      </c>
    </row>
    <row r="65" spans="1:13" x14ac:dyDescent="0.3">
      <c r="A65" s="3" t="s">
        <v>11</v>
      </c>
      <c r="B65" s="3" t="s">
        <v>248</v>
      </c>
      <c r="C65" s="3" t="s">
        <v>249</v>
      </c>
      <c r="D65" s="3">
        <v>1</v>
      </c>
      <c r="E65" s="14">
        <v>150</v>
      </c>
      <c r="F65" s="12">
        <f t="shared" si="2"/>
        <v>150</v>
      </c>
      <c r="G65" s="14">
        <v>150</v>
      </c>
      <c r="H65" s="12">
        <f t="shared" si="3"/>
        <v>150</v>
      </c>
      <c r="I65" s="3" t="s">
        <v>85</v>
      </c>
      <c r="J65" s="3"/>
      <c r="K65" s="3"/>
      <c r="L65" s="3"/>
      <c r="M65" s="3" t="s">
        <v>156</v>
      </c>
    </row>
    <row r="66" spans="1:13" x14ac:dyDescent="0.3">
      <c r="A66" s="3" t="s">
        <v>11</v>
      </c>
      <c r="B66" s="3" t="s">
        <v>250</v>
      </c>
      <c r="C66" s="3" t="s">
        <v>251</v>
      </c>
      <c r="D66" s="3">
        <v>2</v>
      </c>
      <c r="E66" s="14">
        <v>150</v>
      </c>
      <c r="F66" s="12">
        <f t="shared" ref="F66:F97" si="4">D66*E66</f>
        <v>300</v>
      </c>
      <c r="G66" s="14">
        <v>150</v>
      </c>
      <c r="H66" s="12">
        <f t="shared" ref="H66:H97" si="5">D66*G66</f>
        <v>300</v>
      </c>
      <c r="I66" s="3" t="s">
        <v>85</v>
      </c>
      <c r="J66" s="3"/>
      <c r="K66" s="3"/>
      <c r="L66" s="3"/>
      <c r="M66" s="3" t="s">
        <v>156</v>
      </c>
    </row>
    <row r="67" spans="1:13" x14ac:dyDescent="0.3">
      <c r="A67" s="3" t="s">
        <v>11</v>
      </c>
      <c r="B67" s="3" t="s">
        <v>252</v>
      </c>
      <c r="C67" s="3" t="s">
        <v>253</v>
      </c>
      <c r="D67" s="3">
        <v>2</v>
      </c>
      <c r="E67" s="14">
        <v>150</v>
      </c>
      <c r="F67" s="12">
        <f t="shared" si="4"/>
        <v>300</v>
      </c>
      <c r="G67" s="14">
        <v>150</v>
      </c>
      <c r="H67" s="12">
        <f t="shared" si="5"/>
        <v>300</v>
      </c>
      <c r="I67" s="3" t="s">
        <v>85</v>
      </c>
      <c r="J67" s="3"/>
      <c r="K67" s="3"/>
      <c r="L67" s="3"/>
      <c r="M67" s="3" t="s">
        <v>59</v>
      </c>
    </row>
    <row r="68" spans="1:13" x14ac:dyDescent="0.3">
      <c r="A68" s="3" t="s">
        <v>11</v>
      </c>
      <c r="B68" s="3" t="s">
        <v>254</v>
      </c>
      <c r="C68" s="3" t="s">
        <v>255</v>
      </c>
      <c r="D68" s="3">
        <v>2</v>
      </c>
      <c r="E68" s="14">
        <v>50</v>
      </c>
      <c r="F68" s="12">
        <f t="shared" si="4"/>
        <v>100</v>
      </c>
      <c r="G68" s="14">
        <v>50</v>
      </c>
      <c r="H68" s="12">
        <f t="shared" si="5"/>
        <v>100</v>
      </c>
      <c r="I68" s="3" t="s">
        <v>85</v>
      </c>
      <c r="J68" s="3"/>
      <c r="K68" s="3"/>
      <c r="L68" s="3"/>
      <c r="M68" s="3" t="s">
        <v>59</v>
      </c>
    </row>
    <row r="69" spans="1:13" x14ac:dyDescent="0.3">
      <c r="A69" s="3" t="s">
        <v>11</v>
      </c>
      <c r="B69" s="3" t="s">
        <v>256</v>
      </c>
      <c r="C69" s="3" t="s">
        <v>257</v>
      </c>
      <c r="D69" s="3">
        <v>8</v>
      </c>
      <c r="E69" s="14">
        <v>15</v>
      </c>
      <c r="F69" s="12">
        <f t="shared" si="4"/>
        <v>120</v>
      </c>
      <c r="G69" s="14">
        <v>15</v>
      </c>
      <c r="H69" s="12">
        <f t="shared" si="5"/>
        <v>120</v>
      </c>
      <c r="I69" s="3" t="s">
        <v>85</v>
      </c>
      <c r="J69" s="3"/>
      <c r="K69" s="3"/>
      <c r="L69" s="3"/>
      <c r="M69" s="3" t="s">
        <v>59</v>
      </c>
    </row>
    <row r="70" spans="1:13" x14ac:dyDescent="0.3">
      <c r="A70" s="3" t="s">
        <v>11</v>
      </c>
      <c r="B70" s="3" t="s">
        <v>258</v>
      </c>
      <c r="C70" s="3" t="s">
        <v>259</v>
      </c>
      <c r="D70" s="3">
        <v>4</v>
      </c>
      <c r="E70" s="14">
        <v>20</v>
      </c>
      <c r="F70" s="12">
        <f t="shared" si="4"/>
        <v>80</v>
      </c>
      <c r="G70" s="14">
        <v>20</v>
      </c>
      <c r="H70" s="12">
        <f t="shared" si="5"/>
        <v>80</v>
      </c>
      <c r="I70" s="3" t="s">
        <v>85</v>
      </c>
      <c r="J70" s="3"/>
      <c r="K70" s="3"/>
      <c r="L70" s="3"/>
      <c r="M70" s="3" t="s">
        <v>59</v>
      </c>
    </row>
    <row r="71" spans="1:13" ht="28.8" x14ac:dyDescent="0.3">
      <c r="A71" s="3" t="s">
        <v>12</v>
      </c>
      <c r="B71" s="3" t="s">
        <v>260</v>
      </c>
      <c r="C71" s="3" t="s">
        <v>261</v>
      </c>
      <c r="D71" s="3">
        <v>16</v>
      </c>
      <c r="E71" s="14">
        <v>30</v>
      </c>
      <c r="F71" s="12">
        <f t="shared" si="4"/>
        <v>480</v>
      </c>
      <c r="G71" s="14">
        <v>30</v>
      </c>
      <c r="H71" s="12">
        <f t="shared" si="5"/>
        <v>480</v>
      </c>
      <c r="I71" s="3" t="s">
        <v>85</v>
      </c>
      <c r="J71" s="3"/>
      <c r="K71" s="6" t="s">
        <v>262</v>
      </c>
      <c r="L71" s="3"/>
      <c r="M71" s="3" t="s">
        <v>59</v>
      </c>
    </row>
    <row r="72" spans="1:13" ht="28.8" x14ac:dyDescent="0.3">
      <c r="A72" s="3" t="s">
        <v>12</v>
      </c>
      <c r="B72" s="3" t="s">
        <v>263</v>
      </c>
      <c r="C72" s="3" t="s">
        <v>264</v>
      </c>
      <c r="D72" s="3">
        <v>2</v>
      </c>
      <c r="E72" s="14">
        <v>45</v>
      </c>
      <c r="F72" s="12">
        <f t="shared" si="4"/>
        <v>90</v>
      </c>
      <c r="G72" s="14">
        <v>45</v>
      </c>
      <c r="H72" s="12">
        <f t="shared" si="5"/>
        <v>90</v>
      </c>
      <c r="I72" s="3" t="s">
        <v>85</v>
      </c>
      <c r="J72" s="3"/>
      <c r="K72" s="6" t="s">
        <v>262</v>
      </c>
      <c r="L72" s="3"/>
      <c r="M72" s="3" t="s">
        <v>59</v>
      </c>
    </row>
    <row r="73" spans="1:13" ht="28.8" x14ac:dyDescent="0.3">
      <c r="A73" s="3" t="s">
        <v>12</v>
      </c>
      <c r="B73" s="3" t="s">
        <v>265</v>
      </c>
      <c r="C73" s="3" t="s">
        <v>266</v>
      </c>
      <c r="D73" s="3">
        <v>6</v>
      </c>
      <c r="E73" s="14">
        <v>10</v>
      </c>
      <c r="F73" s="12">
        <f t="shared" si="4"/>
        <v>60</v>
      </c>
      <c r="G73" s="14">
        <v>10</v>
      </c>
      <c r="H73" s="12">
        <f t="shared" si="5"/>
        <v>60</v>
      </c>
      <c r="I73" s="3" t="s">
        <v>85</v>
      </c>
      <c r="J73" s="3"/>
      <c r="K73" s="6" t="s">
        <v>262</v>
      </c>
      <c r="L73" s="3"/>
      <c r="M73" s="3" t="s">
        <v>59</v>
      </c>
    </row>
    <row r="74" spans="1:13" ht="28.8" x14ac:dyDescent="0.3">
      <c r="A74" s="3" t="s">
        <v>12</v>
      </c>
      <c r="B74" s="3" t="s">
        <v>267</v>
      </c>
      <c r="C74" s="3" t="s">
        <v>268</v>
      </c>
      <c r="D74" s="3">
        <v>4</v>
      </c>
      <c r="E74" s="14">
        <v>35</v>
      </c>
      <c r="F74" s="12">
        <f t="shared" si="4"/>
        <v>140</v>
      </c>
      <c r="G74" s="14">
        <v>35</v>
      </c>
      <c r="H74" s="12">
        <f t="shared" si="5"/>
        <v>140</v>
      </c>
      <c r="I74" s="3" t="s">
        <v>85</v>
      </c>
      <c r="J74" s="3"/>
      <c r="K74" s="6" t="s">
        <v>262</v>
      </c>
      <c r="L74" s="3"/>
      <c r="M74" s="3" t="s">
        <v>59</v>
      </c>
    </row>
    <row r="75" spans="1:13" ht="28.8" x14ac:dyDescent="0.3">
      <c r="A75" s="3" t="s">
        <v>12</v>
      </c>
      <c r="B75" s="3" t="s">
        <v>269</v>
      </c>
      <c r="C75" s="3" t="s">
        <v>270</v>
      </c>
      <c r="D75" s="3">
        <v>8</v>
      </c>
      <c r="E75" s="14">
        <v>120</v>
      </c>
      <c r="F75" s="12">
        <f t="shared" si="4"/>
        <v>960</v>
      </c>
      <c r="G75" s="14">
        <v>120</v>
      </c>
      <c r="H75" s="12">
        <f t="shared" si="5"/>
        <v>960</v>
      </c>
      <c r="I75" s="3" t="s">
        <v>85</v>
      </c>
      <c r="J75" s="3"/>
      <c r="K75" s="6" t="s">
        <v>262</v>
      </c>
      <c r="L75" s="3"/>
      <c r="M75" s="3" t="s">
        <v>59</v>
      </c>
    </row>
    <row r="76" spans="1:13" ht="28.8" x14ac:dyDescent="0.3">
      <c r="A76" s="3" t="s">
        <v>12</v>
      </c>
      <c r="B76" s="3" t="s">
        <v>271</v>
      </c>
      <c r="C76" s="3" t="s">
        <v>272</v>
      </c>
      <c r="D76" s="3">
        <v>4</v>
      </c>
      <c r="E76" s="14">
        <v>250</v>
      </c>
      <c r="F76" s="12">
        <f t="shared" si="4"/>
        <v>1000</v>
      </c>
      <c r="G76" s="14">
        <v>250</v>
      </c>
      <c r="H76" s="12">
        <f t="shared" si="5"/>
        <v>1000</v>
      </c>
      <c r="I76" s="3" t="s">
        <v>85</v>
      </c>
      <c r="J76" s="3"/>
      <c r="K76" s="6" t="s">
        <v>262</v>
      </c>
      <c r="L76" s="3"/>
      <c r="M76" s="3" t="s">
        <v>59</v>
      </c>
    </row>
    <row r="77" spans="1:13" ht="28.8" x14ac:dyDescent="0.3">
      <c r="A77" s="3" t="s">
        <v>12</v>
      </c>
      <c r="B77" s="3" t="s">
        <v>273</v>
      </c>
      <c r="C77" s="3" t="s">
        <v>274</v>
      </c>
      <c r="D77" s="3">
        <v>8</v>
      </c>
      <c r="E77" s="14">
        <v>120</v>
      </c>
      <c r="F77" s="12">
        <f t="shared" si="4"/>
        <v>960</v>
      </c>
      <c r="G77" s="14">
        <v>120</v>
      </c>
      <c r="H77" s="12">
        <f t="shared" si="5"/>
        <v>960</v>
      </c>
      <c r="I77" s="3" t="s">
        <v>85</v>
      </c>
      <c r="J77" s="3"/>
      <c r="K77" s="6" t="s">
        <v>262</v>
      </c>
      <c r="L77" s="3"/>
      <c r="M77" s="3" t="s">
        <v>156</v>
      </c>
    </row>
    <row r="78" spans="1:13" ht="28.8" x14ac:dyDescent="0.3">
      <c r="A78" s="3" t="s">
        <v>12</v>
      </c>
      <c r="B78" s="3" t="s">
        <v>273</v>
      </c>
      <c r="C78" s="3" t="s">
        <v>275</v>
      </c>
      <c r="D78" s="3">
        <v>1</v>
      </c>
      <c r="E78" s="14">
        <v>1500</v>
      </c>
      <c r="F78" s="12">
        <f t="shared" si="4"/>
        <v>1500</v>
      </c>
      <c r="G78" s="14">
        <v>1500</v>
      </c>
      <c r="H78" s="12">
        <f t="shared" si="5"/>
        <v>1500</v>
      </c>
      <c r="I78" s="3" t="s">
        <v>85</v>
      </c>
      <c r="J78" s="3"/>
      <c r="K78" s="6" t="s">
        <v>262</v>
      </c>
      <c r="L78" s="3"/>
      <c r="M78" s="3" t="s">
        <v>156</v>
      </c>
    </row>
    <row r="79" spans="1:13" x14ac:dyDescent="0.3">
      <c r="A79" s="3" t="s">
        <v>13</v>
      </c>
      <c r="B79" s="3"/>
      <c r="C79" s="3" t="s">
        <v>276</v>
      </c>
      <c r="D79" s="3">
        <v>16</v>
      </c>
      <c r="E79" s="14">
        <v>300</v>
      </c>
      <c r="F79" s="12">
        <f t="shared" si="4"/>
        <v>4800</v>
      </c>
      <c r="G79" s="14">
        <v>187.5</v>
      </c>
      <c r="H79" s="12">
        <f t="shared" si="5"/>
        <v>3000</v>
      </c>
      <c r="I79" s="3" t="s">
        <v>92</v>
      </c>
      <c r="J79" s="3" t="s">
        <v>277</v>
      </c>
      <c r="K79" s="3" t="s">
        <v>278</v>
      </c>
      <c r="L79" s="6" t="s">
        <v>279</v>
      </c>
      <c r="M79" s="3" t="s">
        <v>59</v>
      </c>
    </row>
    <row r="80" spans="1:13" x14ac:dyDescent="0.3">
      <c r="A80" s="3" t="s">
        <v>13</v>
      </c>
      <c r="B80" s="3"/>
      <c r="C80" s="6" t="s">
        <v>280</v>
      </c>
      <c r="D80" s="3">
        <v>1</v>
      </c>
      <c r="E80" s="14">
        <v>1800</v>
      </c>
      <c r="F80" s="12">
        <f t="shared" si="4"/>
        <v>1800</v>
      </c>
      <c r="G80" s="14">
        <v>1800</v>
      </c>
      <c r="H80" s="12">
        <f t="shared" si="5"/>
        <v>1800</v>
      </c>
      <c r="I80" s="3" t="s">
        <v>85</v>
      </c>
      <c r="J80" s="3"/>
      <c r="K80" s="3"/>
      <c r="L80" s="3"/>
      <c r="M80" s="3" t="s">
        <v>59</v>
      </c>
    </row>
    <row r="81" spans="1:13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">
      <c r="A82" s="3"/>
      <c r="B82" s="3"/>
      <c r="C82" s="9" t="s">
        <v>281</v>
      </c>
      <c r="D82" s="3"/>
      <c r="E82" s="3"/>
      <c r="F82" s="10">
        <f>SUM(F2:F80)</f>
        <v>181272.08000000002</v>
      </c>
      <c r="G82" s="3"/>
      <c r="H82" s="10">
        <f>SUM(H2:H80)</f>
        <v>142527.80000000002</v>
      </c>
      <c r="I82" s="3"/>
      <c r="J82" s="3"/>
      <c r="K82" s="3"/>
      <c r="L82" s="3"/>
      <c r="M82" s="3"/>
    </row>
    <row r="83" spans="1:13" x14ac:dyDescent="0.3">
      <c r="A83" s="3"/>
      <c r="B83" s="3"/>
      <c r="C83" s="9" t="s">
        <v>282</v>
      </c>
      <c r="D83" s="3"/>
      <c r="E83" s="3"/>
      <c r="F83" s="10">
        <f>F82*0.03</f>
        <v>5438.1624000000002</v>
      </c>
      <c r="G83" s="3"/>
      <c r="H83" s="10">
        <f>H82*0.03</f>
        <v>4275.8340000000007</v>
      </c>
      <c r="I83" s="3"/>
      <c r="J83" s="3"/>
      <c r="K83" s="3"/>
      <c r="L83" s="3"/>
      <c r="M83" s="3"/>
    </row>
    <row r="84" spans="1:13" ht="28.8" x14ac:dyDescent="0.3">
      <c r="A84" s="3"/>
      <c r="B84" s="3"/>
      <c r="C84" s="11" t="s">
        <v>283</v>
      </c>
      <c r="D84" s="3"/>
      <c r="E84" s="3"/>
      <c r="F84" s="10">
        <f>F82*0</f>
        <v>0</v>
      </c>
      <c r="G84" s="3"/>
      <c r="H84" s="10">
        <f>H82*0</f>
        <v>0</v>
      </c>
      <c r="I84" s="3"/>
      <c r="J84" s="3"/>
      <c r="K84" s="3"/>
      <c r="L84" s="3"/>
      <c r="M84" s="3"/>
    </row>
    <row r="85" spans="1:13" x14ac:dyDescent="0.3">
      <c r="A85" s="3"/>
      <c r="B85" s="3"/>
      <c r="C85" s="9" t="s">
        <v>284</v>
      </c>
      <c r="D85" s="3"/>
      <c r="E85" s="3"/>
      <c r="F85" s="10">
        <v>0</v>
      </c>
      <c r="G85" s="3"/>
      <c r="H85" s="10">
        <f>(75000+50000)/100</f>
        <v>1250</v>
      </c>
      <c r="I85" s="3"/>
      <c r="J85" s="3"/>
      <c r="K85" s="3"/>
      <c r="L85" s="3"/>
      <c r="M85" s="3"/>
    </row>
    <row r="86" spans="1:13" x14ac:dyDescent="0.3">
      <c r="A86" s="3"/>
      <c r="B86" s="3"/>
      <c r="C86" s="9" t="s">
        <v>285</v>
      </c>
      <c r="D86" s="3"/>
      <c r="E86" s="3"/>
      <c r="F86" s="10">
        <f>SUM(F82:F85)</f>
        <v>186710.24240000002</v>
      </c>
      <c r="G86" s="3"/>
      <c r="H86" s="10">
        <f>SUM(H82:H85)</f>
        <v>148053.63400000002</v>
      </c>
      <c r="I86" s="3"/>
      <c r="J86" s="3"/>
      <c r="K86" s="3"/>
      <c r="L86" s="3"/>
      <c r="M86" s="3"/>
    </row>
    <row r="87" spans="1:13" x14ac:dyDescent="0.3">
      <c r="A87" s="3"/>
      <c r="B87" s="3"/>
      <c r="C87" s="11" t="s">
        <v>286</v>
      </c>
      <c r="D87" s="3"/>
      <c r="E87" s="3"/>
      <c r="F87" s="10">
        <f>F86*0.18</f>
        <v>33607.843632000004</v>
      </c>
      <c r="G87" s="3"/>
      <c r="H87" s="10">
        <f>H86*0.18</f>
        <v>26649.654120000003</v>
      </c>
      <c r="I87" s="3"/>
      <c r="J87" s="3"/>
      <c r="K87" s="3"/>
      <c r="L87" s="3"/>
      <c r="M87" s="3"/>
    </row>
    <row r="88" spans="1:13" x14ac:dyDescent="0.3">
      <c r="A88" s="3"/>
      <c r="B88" s="3"/>
      <c r="C88" s="9" t="s">
        <v>287</v>
      </c>
      <c r="D88" s="3"/>
      <c r="E88" s="3"/>
      <c r="F88" s="10">
        <f>F86+F87</f>
        <v>220318.08603200002</v>
      </c>
      <c r="G88" s="3"/>
      <c r="H88" s="10">
        <f>H86+H87</f>
        <v>174703.28812000001</v>
      </c>
      <c r="I88" s="3"/>
      <c r="J88" s="3"/>
      <c r="K88" s="3"/>
      <c r="L88" s="3"/>
      <c r="M88" s="3"/>
    </row>
  </sheetData>
  <autoFilter ref="A1:M8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40" customWidth="1"/>
    <col min="3" max="3" width="6" customWidth="1"/>
    <col min="4" max="5" width="10" customWidth="1"/>
    <col min="6" max="6" width="8" customWidth="1"/>
    <col min="7" max="7" width="11" customWidth="1"/>
    <col min="8" max="8" width="8" customWidth="1"/>
    <col min="9" max="10" width="7" customWidth="1"/>
    <col min="11" max="11" width="8" customWidth="1"/>
    <col min="12" max="12" width="11" customWidth="1"/>
    <col min="13" max="14" width="10" customWidth="1"/>
    <col min="15" max="15" width="12" customWidth="1"/>
    <col min="16" max="16" width="44" customWidth="1"/>
  </cols>
  <sheetData>
    <row r="1" spans="1:16" ht="30" customHeight="1" x14ac:dyDescent="0.3">
      <c r="A1" s="13" t="s">
        <v>42</v>
      </c>
      <c r="B1" s="13" t="s">
        <v>288</v>
      </c>
      <c r="C1" s="13" t="s">
        <v>44</v>
      </c>
      <c r="D1" s="13" t="s">
        <v>289</v>
      </c>
      <c r="E1" s="13" t="s">
        <v>290</v>
      </c>
      <c r="F1" s="13" t="s">
        <v>291</v>
      </c>
      <c r="G1" s="13" t="s">
        <v>292</v>
      </c>
      <c r="H1" s="13" t="s">
        <v>293</v>
      </c>
      <c r="I1" s="13" t="s">
        <v>294</v>
      </c>
      <c r="J1" s="13" t="s">
        <v>295</v>
      </c>
      <c r="K1" s="13" t="s">
        <v>296</v>
      </c>
      <c r="L1" s="13" t="s">
        <v>297</v>
      </c>
      <c r="M1" s="13" t="s">
        <v>298</v>
      </c>
      <c r="N1" s="13" t="s">
        <v>299</v>
      </c>
      <c r="O1" s="13" t="s">
        <v>300</v>
      </c>
      <c r="P1" s="13" t="s">
        <v>301</v>
      </c>
    </row>
    <row r="2" spans="1:16" ht="28.8" x14ac:dyDescent="0.3">
      <c r="A2" s="3" t="s">
        <v>151</v>
      </c>
      <c r="B2" s="6" t="s">
        <v>152</v>
      </c>
      <c r="C2" s="3">
        <v>2</v>
      </c>
      <c r="D2" s="15">
        <v>6.3490000000000002</v>
      </c>
      <c r="E2" s="14">
        <v>315</v>
      </c>
      <c r="F2" s="15">
        <v>1.3</v>
      </c>
      <c r="G2" s="12">
        <f t="shared" ref="G2:G28" si="0">D2*F2*E2</f>
        <v>2599.9155000000001</v>
      </c>
      <c r="H2" s="15">
        <v>4</v>
      </c>
      <c r="I2" s="15">
        <v>2</v>
      </c>
      <c r="J2" s="15">
        <v>0</v>
      </c>
      <c r="K2" s="15">
        <v>0.5</v>
      </c>
      <c r="L2" s="12">
        <f t="shared" ref="L2:L28" si="1">H2*500+I2*700+J2*450+K2*300</f>
        <v>3550</v>
      </c>
      <c r="M2" s="12">
        <v>253.96</v>
      </c>
      <c r="N2" s="12">
        <v>0</v>
      </c>
      <c r="O2" s="12">
        <f t="shared" ref="O2:O28" si="2">G2+L2+M2+N2</f>
        <v>6403.8755000000001</v>
      </c>
      <c r="P2" s="6" t="s">
        <v>302</v>
      </c>
    </row>
    <row r="3" spans="1:16" ht="28.8" x14ac:dyDescent="0.3">
      <c r="A3" s="3" t="s">
        <v>157</v>
      </c>
      <c r="B3" s="3" t="s">
        <v>158</v>
      </c>
      <c r="C3" s="3">
        <v>2</v>
      </c>
      <c r="D3" s="15">
        <v>1.2</v>
      </c>
      <c r="E3" s="14">
        <v>315</v>
      </c>
      <c r="F3" s="15">
        <v>1.3</v>
      </c>
      <c r="G3" s="12">
        <f t="shared" si="0"/>
        <v>491.40000000000003</v>
      </c>
      <c r="H3" s="15">
        <v>1.5</v>
      </c>
      <c r="I3" s="15">
        <v>0.5</v>
      </c>
      <c r="J3" s="15">
        <v>0</v>
      </c>
      <c r="K3" s="15">
        <v>0</v>
      </c>
      <c r="L3" s="12">
        <f t="shared" si="1"/>
        <v>1100</v>
      </c>
      <c r="M3" s="12">
        <v>48</v>
      </c>
      <c r="N3" s="12">
        <v>0</v>
      </c>
      <c r="O3" s="12">
        <f t="shared" si="2"/>
        <v>1639.4</v>
      </c>
      <c r="P3" s="6" t="s">
        <v>303</v>
      </c>
    </row>
    <row r="4" spans="1:16" x14ac:dyDescent="0.3">
      <c r="A4" s="3" t="s">
        <v>160</v>
      </c>
      <c r="B4" s="3" t="s">
        <v>161</v>
      </c>
      <c r="C4" s="3">
        <v>1</v>
      </c>
      <c r="D4" s="15">
        <v>0.45600000000000002</v>
      </c>
      <c r="E4" s="14">
        <v>315</v>
      </c>
      <c r="F4" s="15">
        <v>1.3</v>
      </c>
      <c r="G4" s="12">
        <f t="shared" si="0"/>
        <v>186.732</v>
      </c>
      <c r="H4" s="15">
        <v>0.6</v>
      </c>
      <c r="I4" s="15">
        <v>0.25</v>
      </c>
      <c r="J4" s="15">
        <v>0</v>
      </c>
      <c r="K4" s="15">
        <v>0</v>
      </c>
      <c r="L4" s="12">
        <f t="shared" si="1"/>
        <v>475</v>
      </c>
      <c r="M4" s="12">
        <v>18.239999999999998</v>
      </c>
      <c r="N4" s="12">
        <v>0</v>
      </c>
      <c r="O4" s="12">
        <f t="shared" si="2"/>
        <v>679.97199999999998</v>
      </c>
      <c r="P4" s="3" t="s">
        <v>304</v>
      </c>
    </row>
    <row r="5" spans="1:16" x14ac:dyDescent="0.3">
      <c r="A5" s="3" t="s">
        <v>163</v>
      </c>
      <c r="B5" s="3" t="s">
        <v>164</v>
      </c>
      <c r="C5" s="3">
        <v>1</v>
      </c>
      <c r="D5" s="15">
        <v>16.414000000000001</v>
      </c>
      <c r="E5" s="14">
        <v>437.5</v>
      </c>
      <c r="F5" s="15">
        <v>1.05</v>
      </c>
      <c r="G5" s="12">
        <f t="shared" si="0"/>
        <v>7540.1812500000015</v>
      </c>
      <c r="H5" s="15">
        <v>0</v>
      </c>
      <c r="I5" s="15">
        <v>0</v>
      </c>
      <c r="J5" s="15">
        <v>0</v>
      </c>
      <c r="K5" s="15">
        <v>0.5</v>
      </c>
      <c r="L5" s="12">
        <f t="shared" si="1"/>
        <v>150</v>
      </c>
      <c r="M5" s="12">
        <v>0</v>
      </c>
      <c r="N5" s="12">
        <v>0</v>
      </c>
      <c r="O5" s="12">
        <f t="shared" si="2"/>
        <v>7690.1812500000015</v>
      </c>
      <c r="P5" s="3" t="s">
        <v>305</v>
      </c>
    </row>
    <row r="6" spans="1:16" x14ac:dyDescent="0.3">
      <c r="A6" s="3" t="s">
        <v>167</v>
      </c>
      <c r="B6" s="3" t="s">
        <v>168</v>
      </c>
      <c r="C6" s="3">
        <v>4</v>
      </c>
      <c r="D6" s="15">
        <v>0.871</v>
      </c>
      <c r="E6" s="14">
        <v>375</v>
      </c>
      <c r="F6" s="15">
        <v>1.1000000000000001</v>
      </c>
      <c r="G6" s="12">
        <f t="shared" si="0"/>
        <v>359.28750000000002</v>
      </c>
      <c r="H6" s="15">
        <v>0</v>
      </c>
      <c r="I6" s="15">
        <v>0</v>
      </c>
      <c r="J6" s="15">
        <v>0</v>
      </c>
      <c r="K6" s="15">
        <v>0.3</v>
      </c>
      <c r="L6" s="12">
        <f t="shared" si="1"/>
        <v>90</v>
      </c>
      <c r="M6" s="12">
        <v>347.24</v>
      </c>
      <c r="N6" s="12">
        <v>0</v>
      </c>
      <c r="O6" s="12">
        <f t="shared" si="2"/>
        <v>796.52750000000003</v>
      </c>
      <c r="P6" s="3" t="s">
        <v>306</v>
      </c>
    </row>
    <row r="7" spans="1:16" x14ac:dyDescent="0.3">
      <c r="A7" s="3" t="s">
        <v>171</v>
      </c>
      <c r="B7" s="3" t="s">
        <v>172</v>
      </c>
      <c r="C7" s="3">
        <v>1</v>
      </c>
      <c r="D7" s="15">
        <v>1.99</v>
      </c>
      <c r="E7" s="14">
        <v>375</v>
      </c>
      <c r="F7" s="15">
        <v>1.3</v>
      </c>
      <c r="G7" s="12">
        <f t="shared" si="0"/>
        <v>970.12500000000011</v>
      </c>
      <c r="H7" s="15">
        <v>5</v>
      </c>
      <c r="I7" s="15">
        <v>0</v>
      </c>
      <c r="J7" s="15">
        <v>0</v>
      </c>
      <c r="K7" s="15">
        <v>0.5</v>
      </c>
      <c r="L7" s="12">
        <f t="shared" si="1"/>
        <v>2650</v>
      </c>
      <c r="M7" s="12">
        <v>793.35</v>
      </c>
      <c r="N7" s="12">
        <v>0</v>
      </c>
      <c r="O7" s="12">
        <f t="shared" si="2"/>
        <v>4413.4750000000004</v>
      </c>
      <c r="P7" s="3" t="s">
        <v>307</v>
      </c>
    </row>
    <row r="8" spans="1:16" ht="28.8" x14ac:dyDescent="0.3">
      <c r="A8" s="3" t="s">
        <v>174</v>
      </c>
      <c r="B8" s="3" t="s">
        <v>175</v>
      </c>
      <c r="C8" s="3">
        <v>1</v>
      </c>
      <c r="D8" s="15">
        <v>2.806</v>
      </c>
      <c r="E8" s="14">
        <v>375</v>
      </c>
      <c r="F8" s="15">
        <v>1.4</v>
      </c>
      <c r="G8" s="12">
        <f t="shared" si="0"/>
        <v>1473.1499999999999</v>
      </c>
      <c r="H8" s="15">
        <v>6</v>
      </c>
      <c r="I8" s="15">
        <v>3</v>
      </c>
      <c r="J8" s="15">
        <v>0</v>
      </c>
      <c r="K8" s="15">
        <v>1</v>
      </c>
      <c r="L8" s="12">
        <f t="shared" si="1"/>
        <v>5400</v>
      </c>
      <c r="M8" s="12">
        <v>610.17999999999995</v>
      </c>
      <c r="N8" s="12">
        <v>0</v>
      </c>
      <c r="O8" s="12">
        <f t="shared" si="2"/>
        <v>7483.33</v>
      </c>
      <c r="P8" s="6" t="s">
        <v>308</v>
      </c>
    </row>
    <row r="9" spans="1:16" x14ac:dyDescent="0.3">
      <c r="A9" s="3" t="s">
        <v>177</v>
      </c>
      <c r="B9" s="3" t="s">
        <v>178</v>
      </c>
      <c r="C9" s="3">
        <v>1</v>
      </c>
      <c r="D9" s="15">
        <v>1.9139999999999999</v>
      </c>
      <c r="E9" s="14">
        <v>375</v>
      </c>
      <c r="F9" s="15">
        <v>1.4</v>
      </c>
      <c r="G9" s="12">
        <f t="shared" si="0"/>
        <v>1004.8499999999999</v>
      </c>
      <c r="H9" s="15">
        <v>4</v>
      </c>
      <c r="I9" s="15">
        <v>2</v>
      </c>
      <c r="J9" s="15">
        <v>0</v>
      </c>
      <c r="K9" s="15">
        <v>0.5</v>
      </c>
      <c r="L9" s="12">
        <f t="shared" si="1"/>
        <v>3550</v>
      </c>
      <c r="M9" s="12">
        <v>416.21</v>
      </c>
      <c r="N9" s="12">
        <v>0</v>
      </c>
      <c r="O9" s="12">
        <f t="shared" si="2"/>
        <v>4971.0600000000004</v>
      </c>
      <c r="P9" s="3" t="s">
        <v>309</v>
      </c>
    </row>
    <row r="10" spans="1:16" x14ac:dyDescent="0.3">
      <c r="A10" s="3" t="s">
        <v>180</v>
      </c>
      <c r="B10" s="3" t="s">
        <v>181</v>
      </c>
      <c r="C10" s="3">
        <v>8</v>
      </c>
      <c r="D10" s="15">
        <v>5.7000000000000002E-2</v>
      </c>
      <c r="E10" s="14">
        <v>380</v>
      </c>
      <c r="F10" s="15">
        <v>2.5</v>
      </c>
      <c r="G10" s="12">
        <f t="shared" si="0"/>
        <v>54.150000000000006</v>
      </c>
      <c r="H10" s="15">
        <v>0</v>
      </c>
      <c r="I10" s="15">
        <v>0</v>
      </c>
      <c r="J10" s="15">
        <v>0.5</v>
      </c>
      <c r="K10" s="15">
        <v>0</v>
      </c>
      <c r="L10" s="12">
        <f t="shared" si="1"/>
        <v>225</v>
      </c>
      <c r="M10" s="12">
        <v>0</v>
      </c>
      <c r="N10" s="12">
        <v>0</v>
      </c>
      <c r="O10" s="12">
        <f t="shared" si="2"/>
        <v>279.14999999999998</v>
      </c>
      <c r="P10" s="3" t="s">
        <v>310</v>
      </c>
    </row>
    <row r="11" spans="1:16" x14ac:dyDescent="0.3">
      <c r="A11" s="3" t="s">
        <v>184</v>
      </c>
      <c r="B11" s="3" t="s">
        <v>185</v>
      </c>
      <c r="C11" s="3">
        <v>1</v>
      </c>
      <c r="D11" s="15">
        <v>0.189</v>
      </c>
      <c r="E11" s="14">
        <v>437.5</v>
      </c>
      <c r="F11" s="15">
        <v>2</v>
      </c>
      <c r="G11" s="12">
        <f t="shared" si="0"/>
        <v>165.375</v>
      </c>
      <c r="H11" s="15">
        <v>0</v>
      </c>
      <c r="I11" s="15">
        <v>0</v>
      </c>
      <c r="J11" s="15">
        <v>0.5</v>
      </c>
      <c r="K11" s="15">
        <v>0</v>
      </c>
      <c r="L11" s="12">
        <f t="shared" si="1"/>
        <v>225</v>
      </c>
      <c r="M11" s="12">
        <v>0</v>
      </c>
      <c r="N11" s="12">
        <v>0</v>
      </c>
      <c r="O11" s="12">
        <f t="shared" si="2"/>
        <v>390.375</v>
      </c>
      <c r="P11" s="3" t="s">
        <v>311</v>
      </c>
    </row>
    <row r="12" spans="1:16" x14ac:dyDescent="0.3">
      <c r="A12" s="3" t="s">
        <v>187</v>
      </c>
      <c r="B12" s="3" t="s">
        <v>188</v>
      </c>
      <c r="C12" s="3">
        <v>2</v>
      </c>
      <c r="D12" s="15">
        <v>7.1999999999999995E-2</v>
      </c>
      <c r="E12" s="14">
        <v>437.5</v>
      </c>
      <c r="F12" s="15">
        <v>1.5</v>
      </c>
      <c r="G12" s="12">
        <f t="shared" si="0"/>
        <v>47.249999999999993</v>
      </c>
      <c r="H12" s="15">
        <v>0</v>
      </c>
      <c r="I12" s="15">
        <v>0.5</v>
      </c>
      <c r="J12" s="15">
        <v>0</v>
      </c>
      <c r="K12" s="15">
        <v>0</v>
      </c>
      <c r="L12" s="12">
        <f t="shared" si="1"/>
        <v>350</v>
      </c>
      <c r="M12" s="12">
        <v>0</v>
      </c>
      <c r="N12" s="12">
        <v>0</v>
      </c>
      <c r="O12" s="12">
        <f t="shared" si="2"/>
        <v>397.25</v>
      </c>
      <c r="P12" s="3" t="s">
        <v>312</v>
      </c>
    </row>
    <row r="13" spans="1:16" x14ac:dyDescent="0.3">
      <c r="A13" s="3" t="s">
        <v>190</v>
      </c>
      <c r="B13" s="3" t="s">
        <v>191</v>
      </c>
      <c r="C13" s="3">
        <v>1</v>
      </c>
      <c r="D13" s="15">
        <v>0.85</v>
      </c>
      <c r="E13" s="14">
        <v>437.5</v>
      </c>
      <c r="F13" s="15">
        <v>1.2</v>
      </c>
      <c r="G13" s="12">
        <f t="shared" si="0"/>
        <v>446.25</v>
      </c>
      <c r="H13" s="15">
        <v>0</v>
      </c>
      <c r="I13" s="15">
        <v>0</v>
      </c>
      <c r="J13" s="15">
        <v>0</v>
      </c>
      <c r="K13" s="15">
        <v>1</v>
      </c>
      <c r="L13" s="12">
        <f t="shared" si="1"/>
        <v>300</v>
      </c>
      <c r="M13" s="12">
        <v>34</v>
      </c>
      <c r="N13" s="12">
        <v>0</v>
      </c>
      <c r="O13" s="12">
        <f t="shared" si="2"/>
        <v>780.25</v>
      </c>
      <c r="P13" s="3" t="s">
        <v>313</v>
      </c>
    </row>
    <row r="14" spans="1:16" x14ac:dyDescent="0.3">
      <c r="A14" s="3" t="s">
        <v>193</v>
      </c>
      <c r="B14" s="3" t="s">
        <v>194</v>
      </c>
      <c r="C14" s="3">
        <v>1</v>
      </c>
      <c r="D14" s="15">
        <v>0.39400000000000002</v>
      </c>
      <c r="E14" s="14">
        <v>315</v>
      </c>
      <c r="F14" s="15">
        <v>1.5</v>
      </c>
      <c r="G14" s="12">
        <f t="shared" si="0"/>
        <v>186.16499999999999</v>
      </c>
      <c r="H14" s="15">
        <v>1.5</v>
      </c>
      <c r="I14" s="15">
        <v>0</v>
      </c>
      <c r="J14" s="15">
        <v>0.5</v>
      </c>
      <c r="K14" s="15">
        <v>0</v>
      </c>
      <c r="L14" s="12">
        <f t="shared" si="1"/>
        <v>975</v>
      </c>
      <c r="M14" s="12">
        <v>15.76</v>
      </c>
      <c r="N14" s="12">
        <v>0</v>
      </c>
      <c r="O14" s="12">
        <f t="shared" si="2"/>
        <v>1176.925</v>
      </c>
      <c r="P14" s="3" t="s">
        <v>314</v>
      </c>
    </row>
    <row r="15" spans="1:16" x14ac:dyDescent="0.3">
      <c r="A15" s="3" t="s">
        <v>196</v>
      </c>
      <c r="B15" s="3" t="s">
        <v>197</v>
      </c>
      <c r="C15" s="3">
        <v>1</v>
      </c>
      <c r="D15" s="15">
        <v>1.82</v>
      </c>
      <c r="E15" s="14">
        <v>437.5</v>
      </c>
      <c r="F15" s="15">
        <v>1.2</v>
      </c>
      <c r="G15" s="12">
        <f t="shared" si="0"/>
        <v>955.50000000000011</v>
      </c>
      <c r="H15" s="15">
        <v>2</v>
      </c>
      <c r="I15" s="15">
        <v>2</v>
      </c>
      <c r="J15" s="15">
        <v>0</v>
      </c>
      <c r="K15" s="15">
        <v>0</v>
      </c>
      <c r="L15" s="12">
        <f t="shared" si="1"/>
        <v>2400</v>
      </c>
      <c r="M15" s="12">
        <v>72.8</v>
      </c>
      <c r="N15" s="12">
        <v>0</v>
      </c>
      <c r="O15" s="12">
        <f t="shared" si="2"/>
        <v>3428.3</v>
      </c>
      <c r="P15" s="3" t="s">
        <v>315</v>
      </c>
    </row>
    <row r="16" spans="1:16" x14ac:dyDescent="0.3">
      <c r="A16" s="3" t="s">
        <v>199</v>
      </c>
      <c r="B16" s="3" t="s">
        <v>200</v>
      </c>
      <c r="C16" s="3">
        <v>1</v>
      </c>
      <c r="D16" s="15">
        <v>0.71799999999999997</v>
      </c>
      <c r="E16" s="14">
        <v>295</v>
      </c>
      <c r="F16" s="15">
        <v>1.2</v>
      </c>
      <c r="G16" s="12">
        <f t="shared" si="0"/>
        <v>254.17199999999997</v>
      </c>
      <c r="H16" s="15">
        <v>0</v>
      </c>
      <c r="I16" s="15">
        <v>0</v>
      </c>
      <c r="J16" s="15">
        <v>0</v>
      </c>
      <c r="K16" s="15">
        <v>0.5</v>
      </c>
      <c r="L16" s="12">
        <f t="shared" si="1"/>
        <v>150</v>
      </c>
      <c r="M16" s="12">
        <v>0</v>
      </c>
      <c r="N16" s="12">
        <v>0</v>
      </c>
      <c r="O16" s="12">
        <f t="shared" si="2"/>
        <v>404.17199999999997</v>
      </c>
      <c r="P16" s="3" t="s">
        <v>316</v>
      </c>
    </row>
    <row r="17" spans="1:16" x14ac:dyDescent="0.3">
      <c r="A17" s="3" t="s">
        <v>133</v>
      </c>
      <c r="B17" s="3" t="s">
        <v>202</v>
      </c>
      <c r="C17" s="3">
        <v>1</v>
      </c>
      <c r="D17" s="15">
        <v>0.752</v>
      </c>
      <c r="E17" s="14">
        <v>365</v>
      </c>
      <c r="F17" s="15">
        <v>2.5</v>
      </c>
      <c r="G17" s="12">
        <f t="shared" si="0"/>
        <v>686.19999999999993</v>
      </c>
      <c r="H17" s="15">
        <v>0</v>
      </c>
      <c r="I17" s="15">
        <v>0</v>
      </c>
      <c r="J17" s="15">
        <v>3</v>
      </c>
      <c r="K17" s="15">
        <v>0</v>
      </c>
      <c r="L17" s="12">
        <f t="shared" si="1"/>
        <v>1350</v>
      </c>
      <c r="M17" s="12">
        <v>0</v>
      </c>
      <c r="N17" s="12">
        <v>0</v>
      </c>
      <c r="O17" s="12">
        <f t="shared" si="2"/>
        <v>2036.1999999999998</v>
      </c>
      <c r="P17" s="3" t="s">
        <v>317</v>
      </c>
    </row>
    <row r="18" spans="1:16" x14ac:dyDescent="0.3">
      <c r="A18" s="3" t="s">
        <v>204</v>
      </c>
      <c r="B18" s="3" t="s">
        <v>205</v>
      </c>
      <c r="C18" s="3">
        <v>1</v>
      </c>
      <c r="D18" s="15">
        <v>0.15</v>
      </c>
      <c r="E18" s="14">
        <v>437.5</v>
      </c>
      <c r="F18" s="15">
        <v>1.3</v>
      </c>
      <c r="G18" s="12">
        <f t="shared" si="0"/>
        <v>85.3125</v>
      </c>
      <c r="H18" s="15">
        <v>0</v>
      </c>
      <c r="I18" s="15">
        <v>0</v>
      </c>
      <c r="J18" s="15">
        <v>0</v>
      </c>
      <c r="K18" s="15">
        <v>0.5</v>
      </c>
      <c r="L18" s="12">
        <f t="shared" si="1"/>
        <v>150</v>
      </c>
      <c r="M18" s="12">
        <v>0</v>
      </c>
      <c r="N18" s="12">
        <v>0</v>
      </c>
      <c r="O18" s="12">
        <f t="shared" si="2"/>
        <v>235.3125</v>
      </c>
      <c r="P18" s="3" t="s">
        <v>318</v>
      </c>
    </row>
    <row r="19" spans="1:16" x14ac:dyDescent="0.3">
      <c r="A19" s="3" t="s">
        <v>207</v>
      </c>
      <c r="B19" s="3" t="s">
        <v>208</v>
      </c>
      <c r="C19" s="3">
        <v>1</v>
      </c>
      <c r="D19" s="15">
        <v>0.83699999999999997</v>
      </c>
      <c r="E19" s="14">
        <v>437.5</v>
      </c>
      <c r="F19" s="15">
        <v>1.2</v>
      </c>
      <c r="G19" s="12">
        <f t="shared" si="0"/>
        <v>439.42499999999995</v>
      </c>
      <c r="H19" s="15">
        <v>0</v>
      </c>
      <c r="I19" s="15">
        <v>0.5</v>
      </c>
      <c r="J19" s="15">
        <v>1</v>
      </c>
      <c r="K19" s="15">
        <v>0</v>
      </c>
      <c r="L19" s="12">
        <f t="shared" si="1"/>
        <v>800</v>
      </c>
      <c r="M19" s="12">
        <v>33.479999999999997</v>
      </c>
      <c r="N19" s="12">
        <v>0</v>
      </c>
      <c r="O19" s="12">
        <f t="shared" si="2"/>
        <v>1272.905</v>
      </c>
      <c r="P19" s="3" t="s">
        <v>319</v>
      </c>
    </row>
    <row r="20" spans="1:16" x14ac:dyDescent="0.3">
      <c r="A20" s="3" t="s">
        <v>210</v>
      </c>
      <c r="B20" s="3" t="s">
        <v>211</v>
      </c>
      <c r="C20" s="3">
        <v>1</v>
      </c>
      <c r="D20" s="15">
        <v>0.11700000000000001</v>
      </c>
      <c r="E20" s="14">
        <v>365</v>
      </c>
      <c r="F20" s="15">
        <v>3</v>
      </c>
      <c r="G20" s="12">
        <f t="shared" si="0"/>
        <v>128.11500000000001</v>
      </c>
      <c r="H20" s="15">
        <v>0</v>
      </c>
      <c r="I20" s="15">
        <v>0</v>
      </c>
      <c r="J20" s="15">
        <v>1</v>
      </c>
      <c r="K20" s="15">
        <v>0</v>
      </c>
      <c r="L20" s="12">
        <f t="shared" si="1"/>
        <v>450</v>
      </c>
      <c r="M20" s="12">
        <v>0</v>
      </c>
      <c r="N20" s="12">
        <v>0</v>
      </c>
      <c r="O20" s="12">
        <f t="shared" si="2"/>
        <v>578.11500000000001</v>
      </c>
      <c r="P20" s="3" t="s">
        <v>320</v>
      </c>
    </row>
    <row r="21" spans="1:16" x14ac:dyDescent="0.3">
      <c r="A21" s="3" t="s">
        <v>213</v>
      </c>
      <c r="B21" s="3" t="s">
        <v>214</v>
      </c>
      <c r="C21" s="3">
        <v>1</v>
      </c>
      <c r="D21" s="15">
        <v>0.123</v>
      </c>
      <c r="E21" s="14">
        <v>437.5</v>
      </c>
      <c r="F21" s="15">
        <v>1.5</v>
      </c>
      <c r="G21" s="12">
        <f t="shared" si="0"/>
        <v>80.71875</v>
      </c>
      <c r="H21" s="15">
        <v>0</v>
      </c>
      <c r="I21" s="15">
        <v>0</v>
      </c>
      <c r="J21" s="15">
        <v>1</v>
      </c>
      <c r="K21" s="15">
        <v>0</v>
      </c>
      <c r="L21" s="12">
        <f t="shared" si="1"/>
        <v>450</v>
      </c>
      <c r="M21" s="12">
        <v>0</v>
      </c>
      <c r="N21" s="12">
        <v>100</v>
      </c>
      <c r="O21" s="12">
        <f t="shared" si="2"/>
        <v>630.71875</v>
      </c>
      <c r="P21" s="6" t="s">
        <v>321</v>
      </c>
    </row>
    <row r="22" spans="1:16" x14ac:dyDescent="0.3">
      <c r="A22" s="3" t="s">
        <v>216</v>
      </c>
      <c r="B22" s="3" t="s">
        <v>217</v>
      </c>
      <c r="C22" s="3">
        <v>1</v>
      </c>
      <c r="D22" s="15">
        <v>0.15</v>
      </c>
      <c r="E22" s="14">
        <v>437.5</v>
      </c>
      <c r="F22" s="15">
        <v>1.5</v>
      </c>
      <c r="G22" s="12">
        <f t="shared" si="0"/>
        <v>98.437499999999986</v>
      </c>
      <c r="H22" s="15">
        <v>0</v>
      </c>
      <c r="I22" s="15">
        <v>0</v>
      </c>
      <c r="J22" s="15">
        <v>0</v>
      </c>
      <c r="K22" s="15">
        <v>0.5</v>
      </c>
      <c r="L22" s="12">
        <f t="shared" si="1"/>
        <v>150</v>
      </c>
      <c r="M22" s="12">
        <v>0</v>
      </c>
      <c r="N22" s="12">
        <v>200</v>
      </c>
      <c r="O22" s="12">
        <f t="shared" si="2"/>
        <v>448.4375</v>
      </c>
      <c r="P22" s="6" t="s">
        <v>322</v>
      </c>
    </row>
    <row r="23" spans="1:16" x14ac:dyDescent="0.3">
      <c r="A23" s="3" t="s">
        <v>219</v>
      </c>
      <c r="B23" s="3" t="s">
        <v>220</v>
      </c>
      <c r="C23" s="3">
        <v>1</v>
      </c>
      <c r="D23" s="15">
        <v>0.45100000000000001</v>
      </c>
      <c r="E23" s="14">
        <v>375</v>
      </c>
      <c r="F23" s="15">
        <v>1.2</v>
      </c>
      <c r="G23" s="12">
        <f t="shared" si="0"/>
        <v>202.95000000000002</v>
      </c>
      <c r="H23" s="15">
        <v>0</v>
      </c>
      <c r="I23" s="15">
        <v>0</v>
      </c>
      <c r="J23" s="15">
        <v>0</v>
      </c>
      <c r="K23" s="15">
        <v>0.5</v>
      </c>
      <c r="L23" s="12">
        <f t="shared" si="1"/>
        <v>150</v>
      </c>
      <c r="M23" s="12">
        <v>179.8</v>
      </c>
      <c r="N23" s="12">
        <v>0</v>
      </c>
      <c r="O23" s="12">
        <f t="shared" si="2"/>
        <v>532.75</v>
      </c>
      <c r="P23" s="3" t="s">
        <v>323</v>
      </c>
    </row>
    <row r="24" spans="1:16" x14ac:dyDescent="0.3">
      <c r="A24" s="3" t="s">
        <v>222</v>
      </c>
      <c r="B24" s="3" t="s">
        <v>223</v>
      </c>
      <c r="C24" s="3">
        <v>1</v>
      </c>
      <c r="D24" s="15">
        <v>0.35799999999999998</v>
      </c>
      <c r="E24" s="14">
        <v>375</v>
      </c>
      <c r="F24" s="15">
        <v>1.3</v>
      </c>
      <c r="G24" s="12">
        <f t="shared" si="0"/>
        <v>174.52500000000001</v>
      </c>
      <c r="H24" s="15">
        <v>1.5</v>
      </c>
      <c r="I24" s="15">
        <v>0</v>
      </c>
      <c r="J24" s="15">
        <v>0</v>
      </c>
      <c r="K24" s="15">
        <v>0</v>
      </c>
      <c r="L24" s="12">
        <f t="shared" si="1"/>
        <v>750</v>
      </c>
      <c r="M24" s="12">
        <v>214.08</v>
      </c>
      <c r="N24" s="12">
        <v>0</v>
      </c>
      <c r="O24" s="12">
        <f t="shared" si="2"/>
        <v>1138.605</v>
      </c>
      <c r="P24" s="3" t="s">
        <v>324</v>
      </c>
    </row>
    <row r="25" spans="1:16" x14ac:dyDescent="0.3">
      <c r="A25" s="3" t="s">
        <v>225</v>
      </c>
      <c r="B25" s="3" t="s">
        <v>226</v>
      </c>
      <c r="C25" s="3">
        <v>1</v>
      </c>
      <c r="D25" s="15">
        <v>0.51200000000000001</v>
      </c>
      <c r="E25" s="14">
        <v>375</v>
      </c>
      <c r="F25" s="15">
        <v>1.2</v>
      </c>
      <c r="G25" s="12">
        <f t="shared" si="0"/>
        <v>230.39999999999998</v>
      </c>
      <c r="H25" s="15">
        <v>0</v>
      </c>
      <c r="I25" s="15">
        <v>1.5</v>
      </c>
      <c r="J25" s="15">
        <v>0</v>
      </c>
      <c r="K25" s="15">
        <v>0.5</v>
      </c>
      <c r="L25" s="12">
        <f t="shared" si="1"/>
        <v>1200</v>
      </c>
      <c r="M25" s="12">
        <v>306.18</v>
      </c>
      <c r="N25" s="12">
        <v>0</v>
      </c>
      <c r="O25" s="12">
        <f t="shared" si="2"/>
        <v>1736.5800000000002</v>
      </c>
      <c r="P25" s="3" t="s">
        <v>325</v>
      </c>
    </row>
    <row r="26" spans="1:16" x14ac:dyDescent="0.3">
      <c r="A26" s="3" t="s">
        <v>129</v>
      </c>
      <c r="B26" s="3" t="s">
        <v>228</v>
      </c>
      <c r="C26" s="3">
        <v>1</v>
      </c>
      <c r="D26" s="15">
        <v>0.19900000000000001</v>
      </c>
      <c r="E26" s="14">
        <v>365</v>
      </c>
      <c r="F26" s="15">
        <v>3</v>
      </c>
      <c r="G26" s="12">
        <f t="shared" si="0"/>
        <v>217.905</v>
      </c>
      <c r="H26" s="15">
        <v>0</v>
      </c>
      <c r="I26" s="15">
        <v>0</v>
      </c>
      <c r="J26" s="15">
        <v>2</v>
      </c>
      <c r="K26" s="15">
        <v>0</v>
      </c>
      <c r="L26" s="12">
        <f t="shared" si="1"/>
        <v>900</v>
      </c>
      <c r="M26" s="12">
        <v>0</v>
      </c>
      <c r="N26" s="12">
        <v>0</v>
      </c>
      <c r="O26" s="12">
        <f t="shared" si="2"/>
        <v>1117.905</v>
      </c>
      <c r="P26" s="3" t="s">
        <v>326</v>
      </c>
    </row>
    <row r="27" spans="1:16" x14ac:dyDescent="0.3">
      <c r="A27" s="3" t="s">
        <v>230</v>
      </c>
      <c r="B27" s="3" t="s">
        <v>231</v>
      </c>
      <c r="C27" s="3">
        <v>1</v>
      </c>
      <c r="D27" s="15">
        <v>0.36599999999999999</v>
      </c>
      <c r="E27" s="14">
        <v>375</v>
      </c>
      <c r="F27" s="15">
        <v>1.2</v>
      </c>
      <c r="G27" s="12">
        <f t="shared" si="0"/>
        <v>164.7</v>
      </c>
      <c r="H27" s="15">
        <v>0</v>
      </c>
      <c r="I27" s="15">
        <v>0.5</v>
      </c>
      <c r="J27" s="15">
        <v>0</v>
      </c>
      <c r="K27" s="15">
        <v>0</v>
      </c>
      <c r="L27" s="12">
        <f t="shared" si="1"/>
        <v>350</v>
      </c>
      <c r="M27" s="12">
        <v>175.09</v>
      </c>
      <c r="N27" s="12">
        <v>0</v>
      </c>
      <c r="O27" s="12">
        <f t="shared" si="2"/>
        <v>689.79000000000008</v>
      </c>
      <c r="P27" s="3" t="s">
        <v>327</v>
      </c>
    </row>
    <row r="28" spans="1:16" x14ac:dyDescent="0.3">
      <c r="A28" s="3" t="s">
        <v>233</v>
      </c>
      <c r="B28" s="3" t="s">
        <v>234</v>
      </c>
      <c r="C28" s="3">
        <v>4</v>
      </c>
      <c r="D28" s="15">
        <v>0.23</v>
      </c>
      <c r="E28" s="14">
        <v>437.5</v>
      </c>
      <c r="F28" s="15">
        <v>1.2</v>
      </c>
      <c r="G28" s="12">
        <f t="shared" si="0"/>
        <v>120.75000000000001</v>
      </c>
      <c r="H28" s="15">
        <v>0</v>
      </c>
      <c r="I28" s="15">
        <v>0.5</v>
      </c>
      <c r="J28" s="15">
        <v>0</v>
      </c>
      <c r="K28" s="15">
        <v>0</v>
      </c>
      <c r="L28" s="12">
        <f t="shared" si="1"/>
        <v>350</v>
      </c>
      <c r="M28" s="12">
        <v>9.1999999999999993</v>
      </c>
      <c r="N28" s="12">
        <v>0</v>
      </c>
      <c r="O28" s="12">
        <f t="shared" si="2"/>
        <v>479.95</v>
      </c>
      <c r="P28" s="3" t="s">
        <v>328</v>
      </c>
    </row>
    <row r="29" spans="1:16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00.8" x14ac:dyDescent="0.3">
      <c r="A30" s="3"/>
      <c r="B30" s="6" t="s">
        <v>329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46" customWidth="1"/>
    <col min="3" max="3" width="6" customWidth="1"/>
    <col min="4" max="4" width="10" customWidth="1"/>
    <col min="5" max="6" width="30" customWidth="1"/>
    <col min="7" max="7" width="10" customWidth="1"/>
    <col min="8" max="8" width="60" customWidth="1"/>
  </cols>
  <sheetData>
    <row r="1" spans="1:8" ht="30" customHeight="1" x14ac:dyDescent="0.3">
      <c r="A1" s="13" t="s">
        <v>42</v>
      </c>
      <c r="B1" s="13" t="s">
        <v>330</v>
      </c>
      <c r="C1" s="13" t="s">
        <v>44</v>
      </c>
      <c r="D1" s="13" t="s">
        <v>331</v>
      </c>
      <c r="E1" s="13" t="s">
        <v>332</v>
      </c>
      <c r="F1" s="13" t="s">
        <v>301</v>
      </c>
      <c r="G1" s="13" t="s">
        <v>289</v>
      </c>
      <c r="H1" s="13" t="s">
        <v>333</v>
      </c>
    </row>
    <row r="2" spans="1:8" ht="43.2" x14ac:dyDescent="0.3">
      <c r="A2" s="3" t="s">
        <v>151</v>
      </c>
      <c r="B2" s="6" t="s">
        <v>152</v>
      </c>
      <c r="C2" s="3">
        <v>2</v>
      </c>
      <c r="D2" s="3" t="s">
        <v>334</v>
      </c>
      <c r="E2" s="3" t="s">
        <v>335</v>
      </c>
      <c r="F2" s="6" t="s">
        <v>336</v>
      </c>
      <c r="G2" s="3">
        <v>12.698</v>
      </c>
      <c r="H2" s="6" t="s">
        <v>152</v>
      </c>
    </row>
    <row r="3" spans="1:8" x14ac:dyDescent="0.3">
      <c r="A3" s="3" t="s">
        <v>157</v>
      </c>
      <c r="B3" s="3" t="s">
        <v>158</v>
      </c>
      <c r="C3" s="3">
        <v>2</v>
      </c>
      <c r="D3" s="3" t="s">
        <v>334</v>
      </c>
      <c r="E3" s="3" t="s">
        <v>335</v>
      </c>
      <c r="F3" s="3" t="s">
        <v>337</v>
      </c>
      <c r="G3" s="3">
        <v>2.9409999999999998</v>
      </c>
      <c r="H3" s="3" t="s">
        <v>158</v>
      </c>
    </row>
    <row r="4" spans="1:8" x14ac:dyDescent="0.3">
      <c r="A4" s="3" t="s">
        <v>160</v>
      </c>
      <c r="B4" s="3" t="s">
        <v>161</v>
      </c>
      <c r="C4" s="3">
        <v>1</v>
      </c>
      <c r="D4" s="3" t="s">
        <v>334</v>
      </c>
      <c r="E4" s="3" t="s">
        <v>335</v>
      </c>
      <c r="F4" s="3" t="s">
        <v>338</v>
      </c>
      <c r="G4" s="3">
        <v>0.45600000000000002</v>
      </c>
      <c r="H4" s="3" t="s">
        <v>161</v>
      </c>
    </row>
    <row r="5" spans="1:8" ht="28.8" x14ac:dyDescent="0.3">
      <c r="A5" s="3" t="s">
        <v>163</v>
      </c>
      <c r="B5" s="3" t="s">
        <v>164</v>
      </c>
      <c r="C5" s="3">
        <v>1</v>
      </c>
      <c r="D5" s="3" t="s">
        <v>334</v>
      </c>
      <c r="E5" s="3" t="s">
        <v>335</v>
      </c>
      <c r="F5" s="6" t="s">
        <v>339</v>
      </c>
      <c r="G5" s="3">
        <v>16.414000000000001</v>
      </c>
      <c r="H5" s="3" t="s">
        <v>164</v>
      </c>
    </row>
    <row r="6" spans="1:8" x14ac:dyDescent="0.3">
      <c r="A6" s="3" t="s">
        <v>248</v>
      </c>
      <c r="B6" s="3" t="s">
        <v>340</v>
      </c>
      <c r="C6" s="3">
        <v>1</v>
      </c>
      <c r="D6" s="3" t="s">
        <v>341</v>
      </c>
      <c r="E6" s="3" t="s">
        <v>342</v>
      </c>
      <c r="F6" s="3"/>
      <c r="G6" s="3">
        <v>0.124</v>
      </c>
      <c r="H6" s="3" t="s">
        <v>249</v>
      </c>
    </row>
    <row r="7" spans="1:8" x14ac:dyDescent="0.3">
      <c r="A7" s="3" t="s">
        <v>241</v>
      </c>
      <c r="B7" s="3" t="s">
        <v>343</v>
      </c>
      <c r="C7" s="3">
        <v>2</v>
      </c>
      <c r="D7" s="3" t="s">
        <v>334</v>
      </c>
      <c r="E7" s="3" t="s">
        <v>335</v>
      </c>
      <c r="F7" s="3" t="s">
        <v>344</v>
      </c>
      <c r="G7" s="3">
        <v>1.2450000000000001</v>
      </c>
      <c r="H7" s="6" t="s">
        <v>242</v>
      </c>
    </row>
    <row r="8" spans="1:8" x14ac:dyDescent="0.3">
      <c r="A8" s="3" t="s">
        <v>250</v>
      </c>
      <c r="B8" s="3" t="s">
        <v>345</v>
      </c>
      <c r="C8" s="3">
        <v>2</v>
      </c>
      <c r="D8" s="3" t="s">
        <v>334</v>
      </c>
      <c r="E8" s="3" t="s">
        <v>346</v>
      </c>
      <c r="F8" s="3" t="s">
        <v>347</v>
      </c>
      <c r="G8" s="3">
        <v>9.9000000000000005E-2</v>
      </c>
      <c r="H8" s="3" t="s">
        <v>251</v>
      </c>
    </row>
    <row r="9" spans="1:8" ht="43.2" x14ac:dyDescent="0.3">
      <c r="A9" s="3" t="s">
        <v>236</v>
      </c>
      <c r="B9" s="3" t="s">
        <v>348</v>
      </c>
      <c r="C9" s="3">
        <v>2</v>
      </c>
      <c r="D9" s="3" t="s">
        <v>334</v>
      </c>
      <c r="E9" s="3" t="s">
        <v>349</v>
      </c>
      <c r="F9" s="6" t="s">
        <v>350</v>
      </c>
      <c r="G9" s="3">
        <v>6.8209999999999997</v>
      </c>
      <c r="H9" s="6" t="s">
        <v>237</v>
      </c>
    </row>
    <row r="10" spans="1:8" x14ac:dyDescent="0.3">
      <c r="A10" s="3" t="s">
        <v>252</v>
      </c>
      <c r="B10" s="3" t="s">
        <v>351</v>
      </c>
      <c r="C10" s="3">
        <v>2</v>
      </c>
      <c r="D10" s="3" t="s">
        <v>334</v>
      </c>
      <c r="E10" s="3" t="s">
        <v>346</v>
      </c>
      <c r="F10" s="3" t="s">
        <v>352</v>
      </c>
      <c r="G10" s="3">
        <v>7.4999999999999997E-2</v>
      </c>
      <c r="H10" s="3" t="s">
        <v>253</v>
      </c>
    </row>
    <row r="11" spans="1:8" x14ac:dyDescent="0.3">
      <c r="A11" s="3" t="s">
        <v>254</v>
      </c>
      <c r="B11" s="3" t="s">
        <v>255</v>
      </c>
      <c r="C11" s="3">
        <v>2</v>
      </c>
      <c r="D11" s="3" t="s">
        <v>341</v>
      </c>
      <c r="E11" s="3" t="s">
        <v>342</v>
      </c>
      <c r="F11" s="3" t="s">
        <v>353</v>
      </c>
      <c r="G11" s="3">
        <v>1.2E-2</v>
      </c>
      <c r="H11" s="3" t="s">
        <v>255</v>
      </c>
    </row>
    <row r="12" spans="1:8" x14ac:dyDescent="0.3">
      <c r="A12" s="3" t="s">
        <v>167</v>
      </c>
      <c r="B12" s="3" t="s">
        <v>168</v>
      </c>
      <c r="C12" s="3">
        <v>4</v>
      </c>
      <c r="D12" s="3" t="s">
        <v>334</v>
      </c>
      <c r="E12" s="3" t="s">
        <v>354</v>
      </c>
      <c r="F12" s="3" t="s">
        <v>355</v>
      </c>
      <c r="G12" s="3">
        <v>0.871</v>
      </c>
      <c r="H12" s="3" t="s">
        <v>168</v>
      </c>
    </row>
    <row r="13" spans="1:8" x14ac:dyDescent="0.3">
      <c r="A13" s="3" t="s">
        <v>256</v>
      </c>
      <c r="B13" s="3" t="s">
        <v>257</v>
      </c>
      <c r="C13" s="3">
        <v>8</v>
      </c>
      <c r="D13" s="3" t="s">
        <v>341</v>
      </c>
      <c r="E13" s="3" t="s">
        <v>342</v>
      </c>
      <c r="F13" s="3" t="s">
        <v>356</v>
      </c>
      <c r="G13" s="3">
        <v>8.9999999999999993E-3</v>
      </c>
      <c r="H13" s="3" t="s">
        <v>257</v>
      </c>
    </row>
    <row r="14" spans="1:8" x14ac:dyDescent="0.3">
      <c r="A14" s="3" t="s">
        <v>171</v>
      </c>
      <c r="B14" s="3" t="s">
        <v>172</v>
      </c>
      <c r="C14" s="3">
        <v>1</v>
      </c>
      <c r="D14" s="3" t="s">
        <v>334</v>
      </c>
      <c r="E14" s="3" t="s">
        <v>354</v>
      </c>
      <c r="F14" s="3" t="s">
        <v>357</v>
      </c>
      <c r="G14" s="3">
        <v>1.99</v>
      </c>
      <c r="H14" s="3" t="s">
        <v>172</v>
      </c>
    </row>
    <row r="15" spans="1:8" ht="43.2" x14ac:dyDescent="0.3">
      <c r="A15" s="3" t="s">
        <v>174</v>
      </c>
      <c r="B15" s="3" t="s">
        <v>175</v>
      </c>
      <c r="C15" s="3">
        <v>1</v>
      </c>
      <c r="D15" s="3" t="s">
        <v>334</v>
      </c>
      <c r="E15" s="3" t="s">
        <v>354</v>
      </c>
      <c r="F15" s="6" t="s">
        <v>358</v>
      </c>
      <c r="G15" s="3">
        <v>2.806</v>
      </c>
      <c r="H15" s="3" t="s">
        <v>175</v>
      </c>
    </row>
    <row r="16" spans="1:8" ht="28.8" x14ac:dyDescent="0.3">
      <c r="A16" s="3" t="s">
        <v>177</v>
      </c>
      <c r="B16" s="3" t="s">
        <v>178</v>
      </c>
      <c r="C16" s="3">
        <v>1</v>
      </c>
      <c r="D16" s="3" t="s">
        <v>334</v>
      </c>
      <c r="E16" s="3" t="s">
        <v>354</v>
      </c>
      <c r="F16" s="6" t="s">
        <v>359</v>
      </c>
      <c r="G16" s="3">
        <v>1.9139999999999999</v>
      </c>
      <c r="H16" s="3" t="s">
        <v>178</v>
      </c>
    </row>
    <row r="17" spans="1:8" ht="28.8" x14ac:dyDescent="0.3">
      <c r="A17" s="3" t="s">
        <v>180</v>
      </c>
      <c r="B17" s="3" t="s">
        <v>181</v>
      </c>
      <c r="C17" s="3">
        <v>8</v>
      </c>
      <c r="D17" s="3" t="s">
        <v>334</v>
      </c>
      <c r="E17" s="3" t="s">
        <v>360</v>
      </c>
      <c r="F17" s="6" t="s">
        <v>361</v>
      </c>
      <c r="G17" s="3">
        <v>5.7000000000000002E-2</v>
      </c>
      <c r="H17" s="3" t="s">
        <v>181</v>
      </c>
    </row>
    <row r="18" spans="1:8" ht="28.8" x14ac:dyDescent="0.3">
      <c r="A18" s="3" t="s">
        <v>269</v>
      </c>
      <c r="B18" s="3" t="s">
        <v>362</v>
      </c>
      <c r="C18" s="3">
        <v>8</v>
      </c>
      <c r="D18" s="3" t="s">
        <v>363</v>
      </c>
      <c r="E18" s="3" t="s">
        <v>364</v>
      </c>
      <c r="F18" s="6" t="s">
        <v>365</v>
      </c>
      <c r="G18" s="3">
        <v>6.5000000000000002E-2</v>
      </c>
      <c r="H18" s="3" t="s">
        <v>270</v>
      </c>
    </row>
    <row r="19" spans="1:8" x14ac:dyDescent="0.3">
      <c r="A19" s="3" t="s">
        <v>184</v>
      </c>
      <c r="B19" s="3" t="s">
        <v>185</v>
      </c>
      <c r="C19" s="3">
        <v>1</v>
      </c>
      <c r="D19" s="3" t="s">
        <v>363</v>
      </c>
      <c r="E19" s="3" t="s">
        <v>364</v>
      </c>
      <c r="F19" s="3" t="s">
        <v>366</v>
      </c>
      <c r="G19" s="3">
        <v>0.189</v>
      </c>
      <c r="H19" s="3" t="s">
        <v>185</v>
      </c>
    </row>
    <row r="20" spans="1:8" x14ac:dyDescent="0.3">
      <c r="A20" s="3" t="s">
        <v>187</v>
      </c>
      <c r="B20" s="3" t="s">
        <v>188</v>
      </c>
      <c r="C20" s="3">
        <v>2</v>
      </c>
      <c r="D20" s="3" t="s">
        <v>363</v>
      </c>
      <c r="E20" s="3" t="s">
        <v>364</v>
      </c>
      <c r="F20" s="3" t="s">
        <v>367</v>
      </c>
      <c r="G20" s="3">
        <v>7.1999999999999995E-2</v>
      </c>
      <c r="H20" s="3" t="s">
        <v>188</v>
      </c>
    </row>
    <row r="21" spans="1:8" ht="43.2" x14ac:dyDescent="0.3">
      <c r="A21" s="3" t="s">
        <v>190</v>
      </c>
      <c r="B21" s="3" t="s">
        <v>191</v>
      </c>
      <c r="C21" s="3">
        <v>1</v>
      </c>
      <c r="D21" s="3" t="s">
        <v>334</v>
      </c>
      <c r="E21" s="3" t="s">
        <v>335</v>
      </c>
      <c r="F21" s="6" t="s">
        <v>368</v>
      </c>
      <c r="G21" s="3">
        <v>0.85</v>
      </c>
      <c r="H21" s="3" t="s">
        <v>191</v>
      </c>
    </row>
    <row r="22" spans="1:8" x14ac:dyDescent="0.3">
      <c r="A22" s="3" t="s">
        <v>245</v>
      </c>
      <c r="B22" s="3" t="s">
        <v>369</v>
      </c>
      <c r="C22" s="3">
        <v>1</v>
      </c>
      <c r="D22" s="3" t="s">
        <v>334</v>
      </c>
      <c r="E22" s="3" t="s">
        <v>370</v>
      </c>
      <c r="F22" s="3" t="s">
        <v>371</v>
      </c>
      <c r="G22" s="3">
        <v>1.0529999999999999</v>
      </c>
      <c r="H22" s="6" t="s">
        <v>246</v>
      </c>
    </row>
    <row r="23" spans="1:8" ht="28.8" x14ac:dyDescent="0.3">
      <c r="A23" s="3" t="s">
        <v>193</v>
      </c>
      <c r="B23" s="3" t="s">
        <v>194</v>
      </c>
      <c r="C23" s="3">
        <v>1</v>
      </c>
      <c r="D23" s="3" t="s">
        <v>334</v>
      </c>
      <c r="E23" s="3" t="s">
        <v>335</v>
      </c>
      <c r="F23" s="6" t="s">
        <v>372</v>
      </c>
      <c r="G23" s="3">
        <v>0.39400000000000002</v>
      </c>
      <c r="H23" s="3" t="s">
        <v>194</v>
      </c>
    </row>
    <row r="24" spans="1:8" ht="28.8" x14ac:dyDescent="0.3">
      <c r="A24" s="3" t="s">
        <v>196</v>
      </c>
      <c r="B24" s="3" t="s">
        <v>197</v>
      </c>
      <c r="C24" s="3">
        <v>1</v>
      </c>
      <c r="D24" s="3" t="s">
        <v>334</v>
      </c>
      <c r="E24" s="3" t="s">
        <v>335</v>
      </c>
      <c r="F24" s="6" t="s">
        <v>373</v>
      </c>
      <c r="G24" s="3">
        <v>1.82</v>
      </c>
      <c r="H24" s="3" t="s">
        <v>197</v>
      </c>
    </row>
    <row r="25" spans="1:8" ht="28.8" x14ac:dyDescent="0.3">
      <c r="A25" s="3" t="s">
        <v>199</v>
      </c>
      <c r="B25" s="3" t="s">
        <v>200</v>
      </c>
      <c r="C25" s="3">
        <v>1</v>
      </c>
      <c r="D25" s="3" t="s">
        <v>334</v>
      </c>
      <c r="E25" s="3" t="s">
        <v>370</v>
      </c>
      <c r="F25" s="6" t="s">
        <v>374</v>
      </c>
      <c r="G25" s="3">
        <v>0.71799999999999997</v>
      </c>
      <c r="H25" s="3" t="s">
        <v>200</v>
      </c>
    </row>
    <row r="26" spans="1:8" ht="28.8" x14ac:dyDescent="0.3">
      <c r="A26" s="3" t="s">
        <v>133</v>
      </c>
      <c r="B26" s="3" t="s">
        <v>202</v>
      </c>
      <c r="C26" s="3">
        <v>1</v>
      </c>
      <c r="D26" s="3" t="s">
        <v>334</v>
      </c>
      <c r="E26" s="3" t="s">
        <v>342</v>
      </c>
      <c r="F26" s="6" t="s">
        <v>375</v>
      </c>
      <c r="G26" s="3">
        <v>0.752</v>
      </c>
      <c r="H26" s="6" t="s">
        <v>376</v>
      </c>
    </row>
    <row r="27" spans="1:8" x14ac:dyDescent="0.3">
      <c r="A27" s="3" t="s">
        <v>204</v>
      </c>
      <c r="B27" s="3" t="s">
        <v>205</v>
      </c>
      <c r="C27" s="3">
        <v>1</v>
      </c>
      <c r="D27" s="3" t="s">
        <v>334</v>
      </c>
      <c r="E27" s="3" t="s">
        <v>364</v>
      </c>
      <c r="F27" s="3" t="s">
        <v>377</v>
      </c>
      <c r="G27" s="3">
        <v>0.15</v>
      </c>
      <c r="H27" s="3" t="s">
        <v>205</v>
      </c>
    </row>
    <row r="28" spans="1:8" x14ac:dyDescent="0.3">
      <c r="A28" s="3" t="s">
        <v>207</v>
      </c>
      <c r="B28" s="3" t="s">
        <v>208</v>
      </c>
      <c r="C28" s="3">
        <v>1</v>
      </c>
      <c r="D28" s="3" t="s">
        <v>334</v>
      </c>
      <c r="E28" s="3" t="s">
        <v>335</v>
      </c>
      <c r="F28" s="3" t="s">
        <v>378</v>
      </c>
      <c r="G28" s="3">
        <v>0.83699999999999997</v>
      </c>
      <c r="H28" s="3" t="s">
        <v>208</v>
      </c>
    </row>
    <row r="29" spans="1:8" x14ac:dyDescent="0.3">
      <c r="A29" s="3" t="s">
        <v>210</v>
      </c>
      <c r="B29" s="3" t="s">
        <v>211</v>
      </c>
      <c r="C29" s="3">
        <v>1</v>
      </c>
      <c r="D29" s="3" t="s">
        <v>334</v>
      </c>
      <c r="E29" s="3" t="s">
        <v>342</v>
      </c>
      <c r="F29" s="3" t="s">
        <v>379</v>
      </c>
      <c r="G29" s="3">
        <v>0.11700000000000001</v>
      </c>
      <c r="H29" s="3" t="s">
        <v>211</v>
      </c>
    </row>
    <row r="30" spans="1:8" x14ac:dyDescent="0.3">
      <c r="A30" s="3" t="s">
        <v>213</v>
      </c>
      <c r="B30" s="3" t="s">
        <v>214</v>
      </c>
      <c r="C30" s="3">
        <v>1</v>
      </c>
      <c r="D30" s="3" t="s">
        <v>334</v>
      </c>
      <c r="E30" s="3" t="s">
        <v>335</v>
      </c>
      <c r="F30" s="3" t="s">
        <v>380</v>
      </c>
      <c r="G30" s="3">
        <v>0.123</v>
      </c>
      <c r="H30" s="3" t="s">
        <v>214</v>
      </c>
    </row>
    <row r="31" spans="1:8" ht="28.8" x14ac:dyDescent="0.3">
      <c r="A31" s="3" t="s">
        <v>381</v>
      </c>
      <c r="B31" s="3" t="s">
        <v>382</v>
      </c>
      <c r="C31" s="3">
        <v>1</v>
      </c>
      <c r="D31" s="3" t="s">
        <v>383</v>
      </c>
      <c r="E31" s="3" t="s">
        <v>384</v>
      </c>
      <c r="F31" s="6" t="s">
        <v>385</v>
      </c>
      <c r="G31" s="3">
        <v>0</v>
      </c>
      <c r="H31" s="6" t="s">
        <v>386</v>
      </c>
    </row>
    <row r="32" spans="1:8" ht="28.8" x14ac:dyDescent="0.3">
      <c r="A32" s="3" t="s">
        <v>216</v>
      </c>
      <c r="B32" s="3" t="s">
        <v>217</v>
      </c>
      <c r="C32" s="3">
        <v>1</v>
      </c>
      <c r="D32" s="3" t="s">
        <v>334</v>
      </c>
      <c r="E32" s="3" t="s">
        <v>364</v>
      </c>
      <c r="F32" s="6" t="s">
        <v>387</v>
      </c>
      <c r="G32" s="3">
        <v>0.15</v>
      </c>
      <c r="H32" s="3" t="s">
        <v>217</v>
      </c>
    </row>
    <row r="33" spans="1:8" ht="43.2" x14ac:dyDescent="0.3">
      <c r="A33" s="3" t="s">
        <v>53</v>
      </c>
      <c r="B33" s="3" t="s">
        <v>388</v>
      </c>
      <c r="C33" s="3">
        <v>4</v>
      </c>
      <c r="D33" s="3" t="s">
        <v>341</v>
      </c>
      <c r="E33" s="3" t="s">
        <v>342</v>
      </c>
      <c r="F33" s="6" t="s">
        <v>389</v>
      </c>
      <c r="G33" s="3">
        <v>0.45</v>
      </c>
      <c r="H33" s="6" t="s">
        <v>390</v>
      </c>
    </row>
    <row r="34" spans="1:8" x14ac:dyDescent="0.3">
      <c r="A34" s="3" t="s">
        <v>258</v>
      </c>
      <c r="B34" s="3" t="s">
        <v>391</v>
      </c>
      <c r="C34" s="3">
        <v>1</v>
      </c>
      <c r="D34" s="3" t="s">
        <v>341</v>
      </c>
      <c r="E34" s="3" t="s">
        <v>392</v>
      </c>
      <c r="F34" s="3" t="s">
        <v>393</v>
      </c>
      <c r="G34" s="3">
        <v>5.0000000000000001E-3</v>
      </c>
      <c r="H34" s="3" t="s">
        <v>259</v>
      </c>
    </row>
    <row r="35" spans="1:8" x14ac:dyDescent="0.3">
      <c r="A35" s="3" t="s">
        <v>394</v>
      </c>
      <c r="B35" s="3" t="s">
        <v>395</v>
      </c>
      <c r="C35" s="3">
        <v>1</v>
      </c>
      <c r="D35" s="3" t="s">
        <v>341</v>
      </c>
      <c r="E35" s="3" t="s">
        <v>396</v>
      </c>
      <c r="F35" s="3" t="s">
        <v>393</v>
      </c>
      <c r="G35" s="3">
        <v>5.0000000000000001E-3</v>
      </c>
      <c r="H35" s="3" t="s">
        <v>397</v>
      </c>
    </row>
    <row r="36" spans="1:8" x14ac:dyDescent="0.3">
      <c r="A36" s="3" t="s">
        <v>398</v>
      </c>
      <c r="B36" s="3" t="s">
        <v>399</v>
      </c>
      <c r="C36" s="3">
        <v>1</v>
      </c>
      <c r="D36" s="3" t="s">
        <v>341</v>
      </c>
      <c r="E36" s="3" t="s">
        <v>400</v>
      </c>
      <c r="F36" s="3" t="s">
        <v>393</v>
      </c>
      <c r="G36" s="3">
        <v>5.0000000000000001E-3</v>
      </c>
      <c r="H36" s="3" t="s">
        <v>397</v>
      </c>
    </row>
    <row r="37" spans="1:8" x14ac:dyDescent="0.3">
      <c r="A37" s="3" t="s">
        <v>401</v>
      </c>
      <c r="B37" s="3" t="s">
        <v>402</v>
      </c>
      <c r="C37" s="3">
        <v>1</v>
      </c>
      <c r="D37" s="3" t="s">
        <v>341</v>
      </c>
      <c r="E37" s="3" t="s">
        <v>403</v>
      </c>
      <c r="F37" s="3" t="s">
        <v>393</v>
      </c>
      <c r="G37" s="3">
        <v>5.0000000000000001E-3</v>
      </c>
      <c r="H37" s="3" t="s">
        <v>397</v>
      </c>
    </row>
    <row r="38" spans="1:8" x14ac:dyDescent="0.3">
      <c r="A38" s="3" t="s">
        <v>219</v>
      </c>
      <c r="B38" s="3" t="s">
        <v>220</v>
      </c>
      <c r="C38" s="3">
        <v>1</v>
      </c>
      <c r="D38" s="3" t="s">
        <v>334</v>
      </c>
      <c r="E38" s="3" t="s">
        <v>354</v>
      </c>
      <c r="F38" s="3" t="s">
        <v>404</v>
      </c>
      <c r="G38" s="3">
        <v>0.45100000000000001</v>
      </c>
      <c r="H38" s="3" t="s">
        <v>220</v>
      </c>
    </row>
    <row r="39" spans="1:8" ht="28.8" x14ac:dyDescent="0.3">
      <c r="A39" s="3" t="s">
        <v>96</v>
      </c>
      <c r="B39" s="3" t="s">
        <v>405</v>
      </c>
      <c r="C39" s="3">
        <v>1</v>
      </c>
      <c r="D39" s="3" t="s">
        <v>334</v>
      </c>
      <c r="E39" s="3" t="s">
        <v>406</v>
      </c>
      <c r="F39" s="6" t="s">
        <v>407</v>
      </c>
      <c r="G39" s="3">
        <v>1.4330000000000001</v>
      </c>
      <c r="H39" s="6" t="s">
        <v>97</v>
      </c>
    </row>
    <row r="40" spans="1:8" x14ac:dyDescent="0.3">
      <c r="A40" s="3" t="s">
        <v>408</v>
      </c>
      <c r="B40" s="3" t="s">
        <v>409</v>
      </c>
      <c r="C40" s="3">
        <v>1</v>
      </c>
      <c r="D40" s="3" t="s">
        <v>334</v>
      </c>
      <c r="E40" s="3" t="s">
        <v>410</v>
      </c>
      <c r="F40" s="3" t="s">
        <v>411</v>
      </c>
      <c r="G40" s="3">
        <v>0.79800000000000004</v>
      </c>
      <c r="H40" s="3" t="s">
        <v>412</v>
      </c>
    </row>
    <row r="41" spans="1:8" x14ac:dyDescent="0.3">
      <c r="A41" s="3" t="s">
        <v>222</v>
      </c>
      <c r="B41" s="3" t="s">
        <v>223</v>
      </c>
      <c r="C41" s="3">
        <v>1</v>
      </c>
      <c r="D41" s="3" t="s">
        <v>334</v>
      </c>
      <c r="E41" s="3" t="s">
        <v>354</v>
      </c>
      <c r="F41" s="3" t="s">
        <v>413</v>
      </c>
      <c r="G41" s="3">
        <v>0.35799999999999998</v>
      </c>
      <c r="H41" s="3" t="s">
        <v>223</v>
      </c>
    </row>
    <row r="42" spans="1:8" x14ac:dyDescent="0.3">
      <c r="A42" s="3" t="s">
        <v>108</v>
      </c>
      <c r="B42" s="3" t="s">
        <v>109</v>
      </c>
      <c r="C42" s="3">
        <v>1</v>
      </c>
      <c r="D42" s="3" t="s">
        <v>341</v>
      </c>
      <c r="E42" s="3" t="s">
        <v>414</v>
      </c>
      <c r="F42" s="3"/>
      <c r="G42" s="3">
        <v>0.8</v>
      </c>
      <c r="H42" s="3" t="s">
        <v>109</v>
      </c>
    </row>
    <row r="43" spans="1:8" ht="100.8" x14ac:dyDescent="0.3">
      <c r="A43" s="3" t="s">
        <v>71</v>
      </c>
      <c r="B43" s="6" t="s">
        <v>415</v>
      </c>
      <c r="C43" s="3">
        <v>1</v>
      </c>
      <c r="D43" s="3" t="s">
        <v>341</v>
      </c>
      <c r="E43" s="3" t="s">
        <v>416</v>
      </c>
      <c r="F43" s="3"/>
      <c r="G43" s="3">
        <v>0.2</v>
      </c>
      <c r="H43" s="6" t="s">
        <v>417</v>
      </c>
    </row>
    <row r="44" spans="1:8" ht="28.8" x14ac:dyDescent="0.3">
      <c r="A44" s="3" t="s">
        <v>117</v>
      </c>
      <c r="B44" s="3" t="s">
        <v>418</v>
      </c>
      <c r="C44" s="3">
        <v>1</v>
      </c>
      <c r="D44" s="3" t="s">
        <v>341</v>
      </c>
      <c r="E44" s="3" t="s">
        <v>410</v>
      </c>
      <c r="F44" s="3"/>
      <c r="G44" s="3">
        <v>0.15</v>
      </c>
      <c r="H44" s="6" t="s">
        <v>419</v>
      </c>
    </row>
    <row r="45" spans="1:8" x14ac:dyDescent="0.3">
      <c r="A45" s="3" t="s">
        <v>113</v>
      </c>
      <c r="B45" s="3" t="s">
        <v>420</v>
      </c>
      <c r="C45" s="3">
        <v>1</v>
      </c>
      <c r="D45" s="3" t="s">
        <v>341</v>
      </c>
      <c r="E45" s="3" t="s">
        <v>354</v>
      </c>
      <c r="F45" s="3"/>
      <c r="G45" s="3">
        <v>1.55</v>
      </c>
      <c r="H45" s="3" t="s">
        <v>114</v>
      </c>
    </row>
    <row r="46" spans="1:8" x14ac:dyDescent="0.3">
      <c r="A46" s="3" t="s">
        <v>421</v>
      </c>
      <c r="B46" s="3" t="s">
        <v>422</v>
      </c>
      <c r="C46" s="3">
        <v>1</v>
      </c>
      <c r="D46" s="3" t="s">
        <v>341</v>
      </c>
      <c r="E46" s="3" t="s">
        <v>423</v>
      </c>
      <c r="F46" s="3"/>
      <c r="G46" s="3">
        <v>0.45</v>
      </c>
      <c r="H46" s="3" t="s">
        <v>424</v>
      </c>
    </row>
    <row r="47" spans="1:8" ht="43.2" x14ac:dyDescent="0.3">
      <c r="A47" s="3" t="s">
        <v>225</v>
      </c>
      <c r="B47" s="3" t="s">
        <v>226</v>
      </c>
      <c r="C47" s="3">
        <v>1</v>
      </c>
      <c r="D47" s="3" t="s">
        <v>334</v>
      </c>
      <c r="E47" s="3" t="s">
        <v>354</v>
      </c>
      <c r="F47" s="6" t="s">
        <v>425</v>
      </c>
      <c r="G47" s="3">
        <v>0.51200000000000001</v>
      </c>
      <c r="H47" s="3" t="s">
        <v>226</v>
      </c>
    </row>
    <row r="48" spans="1:8" x14ac:dyDescent="0.3">
      <c r="A48" s="3" t="s">
        <v>149</v>
      </c>
      <c r="B48" s="3" t="s">
        <v>426</v>
      </c>
      <c r="C48" s="3">
        <v>1</v>
      </c>
      <c r="D48" s="3" t="s">
        <v>334</v>
      </c>
      <c r="E48" s="3" t="s">
        <v>427</v>
      </c>
      <c r="F48" s="3" t="s">
        <v>428</v>
      </c>
      <c r="G48" s="3">
        <v>1.9039999999999999</v>
      </c>
      <c r="H48" s="6" t="s">
        <v>150</v>
      </c>
    </row>
    <row r="49" spans="1:8" x14ac:dyDescent="0.3">
      <c r="A49" s="3" t="s">
        <v>429</v>
      </c>
      <c r="B49" s="6" t="s">
        <v>430</v>
      </c>
      <c r="C49" s="3">
        <v>1</v>
      </c>
      <c r="D49" s="3" t="s">
        <v>334</v>
      </c>
      <c r="E49" s="3" t="s">
        <v>410</v>
      </c>
      <c r="F49" s="3" t="s">
        <v>431</v>
      </c>
      <c r="G49" s="3">
        <v>0.44500000000000001</v>
      </c>
      <c r="H49" s="3" t="s">
        <v>432</v>
      </c>
    </row>
    <row r="50" spans="1:8" ht="43.2" x14ac:dyDescent="0.3">
      <c r="A50" s="3" t="s">
        <v>129</v>
      </c>
      <c r="B50" s="3" t="s">
        <v>228</v>
      </c>
      <c r="C50" s="3">
        <v>1</v>
      </c>
      <c r="D50" s="3" t="s">
        <v>334</v>
      </c>
      <c r="E50" s="3" t="s">
        <v>342</v>
      </c>
      <c r="F50" s="6" t="s">
        <v>433</v>
      </c>
      <c r="G50" s="3">
        <v>0.19900000000000001</v>
      </c>
      <c r="H50" s="6" t="s">
        <v>434</v>
      </c>
    </row>
    <row r="51" spans="1:8" x14ac:dyDescent="0.3">
      <c r="A51" s="3" t="s">
        <v>140</v>
      </c>
      <c r="B51" s="3" t="s">
        <v>435</v>
      </c>
      <c r="C51" s="3">
        <v>4</v>
      </c>
      <c r="D51" s="3" t="s">
        <v>341</v>
      </c>
      <c r="E51" s="3" t="s">
        <v>427</v>
      </c>
      <c r="F51" s="3"/>
      <c r="G51" s="3">
        <v>0.28999999999999998</v>
      </c>
      <c r="H51" s="3" t="s">
        <v>141</v>
      </c>
    </row>
    <row r="52" spans="1:8" x14ac:dyDescent="0.3">
      <c r="A52" s="3" t="s">
        <v>144</v>
      </c>
      <c r="B52" s="3" t="s">
        <v>436</v>
      </c>
      <c r="C52" s="3">
        <v>4</v>
      </c>
      <c r="D52" s="3" t="s">
        <v>341</v>
      </c>
      <c r="E52" s="3" t="s">
        <v>392</v>
      </c>
      <c r="F52" s="3"/>
      <c r="G52" s="3">
        <v>5.0000000000000001E-3</v>
      </c>
      <c r="H52" s="3" t="s">
        <v>145</v>
      </c>
    </row>
    <row r="53" spans="1:8" ht="28.8" x14ac:dyDescent="0.3">
      <c r="A53" s="3" t="s">
        <v>122</v>
      </c>
      <c r="B53" s="3" t="s">
        <v>437</v>
      </c>
      <c r="C53" s="3">
        <v>1</v>
      </c>
      <c r="D53" s="3" t="s">
        <v>341</v>
      </c>
      <c r="E53" s="3" t="s">
        <v>410</v>
      </c>
      <c r="F53" s="3"/>
      <c r="G53" s="3">
        <v>0.35</v>
      </c>
      <c r="H53" s="6" t="s">
        <v>438</v>
      </c>
    </row>
    <row r="54" spans="1:8" x14ac:dyDescent="0.3">
      <c r="A54" s="3" t="s">
        <v>230</v>
      </c>
      <c r="B54" s="3" t="s">
        <v>231</v>
      </c>
      <c r="C54" s="3">
        <v>1</v>
      </c>
      <c r="D54" s="3" t="s">
        <v>334</v>
      </c>
      <c r="E54" s="3" t="s">
        <v>354</v>
      </c>
      <c r="F54" s="3" t="s">
        <v>439</v>
      </c>
      <c r="G54" s="3">
        <v>0.36599999999999999</v>
      </c>
      <c r="H54" s="3" t="s">
        <v>231</v>
      </c>
    </row>
    <row r="55" spans="1:8" x14ac:dyDescent="0.3">
      <c r="A55" s="3" t="s">
        <v>440</v>
      </c>
      <c r="B55" s="3" t="s">
        <v>441</v>
      </c>
      <c r="C55" s="3">
        <v>1</v>
      </c>
      <c r="D55" s="3" t="s">
        <v>341</v>
      </c>
      <c r="E55" s="3" t="s">
        <v>410</v>
      </c>
      <c r="F55" s="3"/>
      <c r="G55" s="3">
        <v>0.18</v>
      </c>
      <c r="H55" s="3" t="s">
        <v>442</v>
      </c>
    </row>
    <row r="56" spans="1:8" x14ac:dyDescent="0.3">
      <c r="A56" s="3" t="s">
        <v>137</v>
      </c>
      <c r="B56" s="6" t="s">
        <v>443</v>
      </c>
      <c r="C56" s="3">
        <v>1</v>
      </c>
      <c r="D56" s="3" t="s">
        <v>341</v>
      </c>
      <c r="E56" s="3" t="s">
        <v>444</v>
      </c>
      <c r="F56" s="3"/>
      <c r="G56" s="3">
        <v>0.08</v>
      </c>
      <c r="H56" s="6" t="s">
        <v>138</v>
      </c>
    </row>
    <row r="57" spans="1:8" x14ac:dyDescent="0.3">
      <c r="A57" s="3" t="s">
        <v>103</v>
      </c>
      <c r="B57" s="3" t="s">
        <v>445</v>
      </c>
      <c r="C57" s="3">
        <v>1</v>
      </c>
      <c r="D57" s="3" t="s">
        <v>341</v>
      </c>
      <c r="E57" s="3" t="s">
        <v>342</v>
      </c>
      <c r="F57" s="3"/>
      <c r="G57" s="3">
        <v>0.12</v>
      </c>
      <c r="H57" s="3" t="s">
        <v>104</v>
      </c>
    </row>
    <row r="58" spans="1:8" x14ac:dyDescent="0.3">
      <c r="A58" s="3" t="s">
        <v>68</v>
      </c>
      <c r="B58" s="6" t="s">
        <v>446</v>
      </c>
      <c r="C58" s="3">
        <v>1</v>
      </c>
      <c r="D58" s="3" t="s">
        <v>341</v>
      </c>
      <c r="E58" s="3" t="s">
        <v>342</v>
      </c>
      <c r="F58" s="3"/>
      <c r="G58" s="3">
        <v>0.06</v>
      </c>
      <c r="H58" s="6" t="s">
        <v>69</v>
      </c>
    </row>
    <row r="59" spans="1:8" ht="28.8" x14ac:dyDescent="0.3">
      <c r="A59" s="3" t="s">
        <v>233</v>
      </c>
      <c r="B59" s="3" t="s">
        <v>234</v>
      </c>
      <c r="C59" s="3">
        <v>4</v>
      </c>
      <c r="D59" s="3" t="s">
        <v>334</v>
      </c>
      <c r="E59" s="3" t="s">
        <v>364</v>
      </c>
      <c r="F59" s="6" t="s">
        <v>447</v>
      </c>
      <c r="G59" s="3">
        <v>0.23</v>
      </c>
      <c r="H59" s="3" t="s">
        <v>234</v>
      </c>
    </row>
    <row r="60" spans="1:8" x14ac:dyDescent="0.3">
      <c r="A60" s="3" t="s">
        <v>271</v>
      </c>
      <c r="B60" s="3" t="s">
        <v>448</v>
      </c>
      <c r="C60" s="3">
        <v>4</v>
      </c>
      <c r="D60" s="3" t="s">
        <v>363</v>
      </c>
      <c r="E60" s="3" t="s">
        <v>335</v>
      </c>
      <c r="F60" s="3"/>
      <c r="G60" s="3">
        <v>0.10100000000000001</v>
      </c>
      <c r="H60" s="3" t="s">
        <v>272</v>
      </c>
    </row>
    <row r="61" spans="1:8" x14ac:dyDescent="0.3">
      <c r="A61" s="3" t="s">
        <v>99</v>
      </c>
      <c r="B61" s="6" t="s">
        <v>449</v>
      </c>
      <c r="C61" s="3">
        <v>1</v>
      </c>
      <c r="D61" s="3" t="s">
        <v>383</v>
      </c>
      <c r="E61" s="3" t="s">
        <v>384</v>
      </c>
      <c r="F61" s="3" t="s">
        <v>450</v>
      </c>
      <c r="G61" s="3">
        <v>0.6</v>
      </c>
      <c r="H61" s="6" t="s">
        <v>451</v>
      </c>
    </row>
    <row r="62" spans="1:8" x14ac:dyDescent="0.3">
      <c r="A62" s="3" t="s">
        <v>146</v>
      </c>
      <c r="B62" s="3" t="s">
        <v>452</v>
      </c>
      <c r="C62" s="3">
        <v>1</v>
      </c>
      <c r="D62" s="3" t="s">
        <v>383</v>
      </c>
      <c r="E62" s="3" t="s">
        <v>453</v>
      </c>
      <c r="F62" s="3" t="s">
        <v>454</v>
      </c>
      <c r="G62" s="3">
        <v>0.15</v>
      </c>
      <c r="H62" s="3" t="s">
        <v>147</v>
      </c>
    </row>
    <row r="63" spans="1:8" x14ac:dyDescent="0.3">
      <c r="A63" s="3" t="s">
        <v>260</v>
      </c>
      <c r="B63" s="3" t="s">
        <v>261</v>
      </c>
      <c r="C63" s="3">
        <v>16</v>
      </c>
      <c r="D63" s="3" t="s">
        <v>363</v>
      </c>
      <c r="E63" s="3" t="s">
        <v>335</v>
      </c>
      <c r="F63" s="3" t="s">
        <v>455</v>
      </c>
      <c r="G63" s="3">
        <v>3.2000000000000001E-2</v>
      </c>
      <c r="H63" s="3" t="s">
        <v>261</v>
      </c>
    </row>
    <row r="64" spans="1:8" x14ac:dyDescent="0.3">
      <c r="A64" s="3" t="s">
        <v>263</v>
      </c>
      <c r="B64" s="3" t="s">
        <v>264</v>
      </c>
      <c r="C64" s="3">
        <v>2</v>
      </c>
      <c r="D64" s="3" t="s">
        <v>363</v>
      </c>
      <c r="E64" s="3" t="s">
        <v>335</v>
      </c>
      <c r="F64" s="3" t="s">
        <v>455</v>
      </c>
      <c r="G64" s="3">
        <v>0.06</v>
      </c>
      <c r="H64" s="3" t="s">
        <v>264</v>
      </c>
    </row>
    <row r="65" spans="1:8" x14ac:dyDescent="0.3">
      <c r="A65" s="3" t="s">
        <v>265</v>
      </c>
      <c r="B65" s="3" t="s">
        <v>266</v>
      </c>
      <c r="C65" s="3">
        <v>6</v>
      </c>
      <c r="D65" s="3" t="s">
        <v>363</v>
      </c>
      <c r="E65" s="3" t="s">
        <v>335</v>
      </c>
      <c r="F65" s="3" t="s">
        <v>455</v>
      </c>
      <c r="G65" s="3">
        <v>0.01</v>
      </c>
      <c r="H65" s="3" t="s">
        <v>266</v>
      </c>
    </row>
    <row r="66" spans="1:8" x14ac:dyDescent="0.3">
      <c r="A66" s="3" t="s">
        <v>273</v>
      </c>
      <c r="B66" s="3" t="s">
        <v>456</v>
      </c>
      <c r="C66" s="3">
        <v>8</v>
      </c>
      <c r="D66" s="3" t="s">
        <v>363</v>
      </c>
      <c r="E66" s="3" t="s">
        <v>335</v>
      </c>
      <c r="F66" s="3" t="s">
        <v>457</v>
      </c>
      <c r="G66" s="3">
        <v>0.14000000000000001</v>
      </c>
      <c r="H66" s="6" t="s">
        <v>458</v>
      </c>
    </row>
    <row r="67" spans="1:8" x14ac:dyDescent="0.3">
      <c r="A67" s="3" t="s">
        <v>267</v>
      </c>
      <c r="B67" s="3" t="s">
        <v>268</v>
      </c>
      <c r="C67" s="3">
        <v>4</v>
      </c>
      <c r="D67" s="3" t="s">
        <v>363</v>
      </c>
      <c r="E67" s="3" t="s">
        <v>335</v>
      </c>
      <c r="F67" s="3" t="s">
        <v>455</v>
      </c>
      <c r="G67" s="3">
        <v>4.1000000000000002E-2</v>
      </c>
      <c r="H67" s="3" t="s">
        <v>268</v>
      </c>
    </row>
    <row r="68" spans="1:8" x14ac:dyDescent="0.3">
      <c r="A68" s="3"/>
      <c r="B68" s="3"/>
      <c r="C68" s="3"/>
      <c r="D68" s="3"/>
      <c r="E68" s="3"/>
      <c r="F68" s="3"/>
      <c r="G68" s="3"/>
      <c r="H68" s="3"/>
    </row>
    <row r="69" spans="1:8" x14ac:dyDescent="0.3">
      <c r="A69" s="3" t="s">
        <v>459</v>
      </c>
      <c r="B69" s="3" t="str">
        <f>COUNTA(A2:A67) &amp; " part numbers"</f>
        <v>66 part numbers</v>
      </c>
      <c r="C69" s="3">
        <f>SUM(C2:C67)</f>
        <v>144</v>
      </c>
      <c r="D69" s="3"/>
      <c r="E69" s="3"/>
      <c r="F69" s="3"/>
      <c r="G69" s="3"/>
      <c r="H69" s="3"/>
    </row>
    <row r="70" spans="1:8" ht="43.2" x14ac:dyDescent="0.3">
      <c r="A70" s="3"/>
      <c r="B70" s="6" t="s">
        <v>460</v>
      </c>
      <c r="C70" s="3"/>
      <c r="D70" s="3"/>
      <c r="E70" s="3"/>
      <c r="F70" s="3"/>
      <c r="G70" s="3"/>
      <c r="H70" s="3"/>
    </row>
  </sheetData>
  <autoFilter ref="A1:H6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ht="30" customHeight="1" x14ac:dyDescent="0.3">
      <c r="A1" s="13" t="s">
        <v>43</v>
      </c>
      <c r="B1" s="13" t="s">
        <v>461</v>
      </c>
      <c r="C1" s="13" t="s">
        <v>49</v>
      </c>
    </row>
    <row r="2" spans="1:3" x14ac:dyDescent="0.3">
      <c r="A2" s="6" t="s">
        <v>462</v>
      </c>
      <c r="B2" s="12">
        <f>'Costed BOM'!H86</f>
        <v>148053.63400000002</v>
      </c>
      <c r="C2" s="3" t="s">
        <v>463</v>
      </c>
    </row>
    <row r="3" spans="1:3" x14ac:dyDescent="0.3">
      <c r="A3" s="3" t="s">
        <v>464</v>
      </c>
      <c r="B3" s="16">
        <v>5</v>
      </c>
      <c r="C3" s="3" t="s">
        <v>85</v>
      </c>
    </row>
    <row r="4" spans="1:3" x14ac:dyDescent="0.3">
      <c r="A4" s="3" t="s">
        <v>465</v>
      </c>
      <c r="B4" s="12">
        <f>B2/B3</f>
        <v>29610.726800000004</v>
      </c>
      <c r="C4" s="3"/>
    </row>
    <row r="5" spans="1:3" x14ac:dyDescent="0.3">
      <c r="A5" s="3" t="s">
        <v>466</v>
      </c>
      <c r="B5" s="14">
        <v>3000</v>
      </c>
      <c r="C5" s="3" t="s">
        <v>85</v>
      </c>
    </row>
    <row r="6" spans="1:3" x14ac:dyDescent="0.3">
      <c r="A6" s="3" t="s">
        <v>467</v>
      </c>
      <c r="B6" s="14">
        <v>18000</v>
      </c>
      <c r="C6" s="6" t="s">
        <v>468</v>
      </c>
    </row>
    <row r="7" spans="1:3" x14ac:dyDescent="0.3">
      <c r="A7" s="6" t="s">
        <v>469</v>
      </c>
      <c r="B7" s="14">
        <v>9000</v>
      </c>
      <c r="C7" s="3" t="s">
        <v>85</v>
      </c>
    </row>
    <row r="8" spans="1:3" x14ac:dyDescent="0.3">
      <c r="A8" s="3" t="s">
        <v>470</v>
      </c>
      <c r="B8" s="14">
        <v>2400</v>
      </c>
      <c r="C8" s="3" t="s">
        <v>471</v>
      </c>
    </row>
    <row r="9" spans="1:3" x14ac:dyDescent="0.3">
      <c r="A9" s="3" t="s">
        <v>472</v>
      </c>
      <c r="B9" s="14">
        <v>1200</v>
      </c>
      <c r="C9" s="3" t="s">
        <v>85</v>
      </c>
    </row>
    <row r="10" spans="1:3" x14ac:dyDescent="0.3">
      <c r="A10" s="3" t="s">
        <v>473</v>
      </c>
      <c r="B10" s="14">
        <v>14000</v>
      </c>
      <c r="C10" s="3" t="s">
        <v>474</v>
      </c>
    </row>
    <row r="11" spans="1:3" x14ac:dyDescent="0.3">
      <c r="A11" s="3" t="s">
        <v>475</v>
      </c>
      <c r="B11" s="12">
        <f>SUM(B4:B10)</f>
        <v>77210.726800000004</v>
      </c>
      <c r="C11" s="3"/>
    </row>
    <row r="12" spans="1:3" x14ac:dyDescent="0.3">
      <c r="A12" s="3" t="s">
        <v>476</v>
      </c>
      <c r="B12" s="14">
        <v>144000</v>
      </c>
      <c r="C12" s="6" t="s">
        <v>477</v>
      </c>
    </row>
    <row r="13" spans="1:3" x14ac:dyDescent="0.3">
      <c r="A13" s="3" t="s">
        <v>478</v>
      </c>
      <c r="B13" s="17">
        <f>1-B11/B12</f>
        <v>0.46381439722222217</v>
      </c>
      <c r="C13" s="3"/>
    </row>
    <row r="14" spans="1:3" x14ac:dyDescent="0.3">
      <c r="A14" s="3" t="s">
        <v>479</v>
      </c>
      <c r="B14" s="14">
        <v>300000</v>
      </c>
      <c r="C14" s="3" t="s">
        <v>480</v>
      </c>
    </row>
    <row r="15" spans="1:3" x14ac:dyDescent="0.3">
      <c r="A15" s="3" t="s">
        <v>481</v>
      </c>
      <c r="B15" s="17">
        <f>1-(B2+15000)/B14</f>
        <v>0.45648788666666662</v>
      </c>
      <c r="C15" s="3" t="s">
        <v>482</v>
      </c>
    </row>
    <row r="16" spans="1:3" x14ac:dyDescent="0.3">
      <c r="A16" s="3" t="s">
        <v>483</v>
      </c>
      <c r="B16" s="14">
        <v>36000</v>
      </c>
      <c r="C16" s="3" t="s">
        <v>484</v>
      </c>
    </row>
    <row r="17" spans="1:3" x14ac:dyDescent="0.3">
      <c r="A17" s="3" t="s">
        <v>485</v>
      </c>
      <c r="B17" s="14">
        <v>6875000</v>
      </c>
      <c r="C17" s="6" t="s">
        <v>486</v>
      </c>
    </row>
    <row r="18" spans="1:3" x14ac:dyDescent="0.3">
      <c r="A18" s="6" t="s">
        <v>487</v>
      </c>
      <c r="B18" s="18">
        <f>B17/5/B12</f>
        <v>9.5486111111111107</v>
      </c>
      <c r="C18" s="3"/>
    </row>
    <row r="19" spans="1:3" x14ac:dyDescent="0.3">
      <c r="A19" s="3"/>
      <c r="B19" s="3"/>
      <c r="C19" s="3"/>
    </row>
    <row r="20" spans="1:3" x14ac:dyDescent="0.3">
      <c r="A20" s="6" t="s">
        <v>488</v>
      </c>
      <c r="B20" s="19">
        <v>4922</v>
      </c>
      <c r="C20" s="3" t="s">
        <v>489</v>
      </c>
    </row>
    <row r="21" spans="1:3" x14ac:dyDescent="0.3">
      <c r="A21" s="3" t="s">
        <v>490</v>
      </c>
      <c r="B21" s="12">
        <f>B20*B12</f>
        <v>708768000</v>
      </c>
      <c r="C21" s="3"/>
    </row>
    <row r="22" spans="1:3" x14ac:dyDescent="0.3">
      <c r="A22" s="6" t="s">
        <v>491</v>
      </c>
      <c r="B22" s="19">
        <v>933</v>
      </c>
      <c r="C22" s="3" t="s">
        <v>492</v>
      </c>
    </row>
    <row r="23" spans="1:3" x14ac:dyDescent="0.3">
      <c r="A23" s="3" t="s">
        <v>493</v>
      </c>
      <c r="B23" s="12">
        <f>B22*B12</f>
        <v>134352000</v>
      </c>
      <c r="C23" s="3"/>
    </row>
    <row r="24" spans="1:3" x14ac:dyDescent="0.3">
      <c r="A24" s="6" t="s">
        <v>494</v>
      </c>
      <c r="B24" s="19">
        <v>165</v>
      </c>
      <c r="C24" s="3" t="s">
        <v>495</v>
      </c>
    </row>
    <row r="25" spans="1:3" x14ac:dyDescent="0.3">
      <c r="A25" s="3" t="s">
        <v>496</v>
      </c>
      <c r="B25" s="12">
        <f>B24*B12</f>
        <v>23760000</v>
      </c>
      <c r="C25" s="3"/>
    </row>
    <row r="26" spans="1:3" x14ac:dyDescent="0.3">
      <c r="A26" s="3"/>
      <c r="B26" s="3"/>
      <c r="C26" s="3"/>
    </row>
    <row r="27" spans="1:3" x14ac:dyDescent="0.3">
      <c r="A27" s="3" t="s">
        <v>497</v>
      </c>
      <c r="B27" s="3" t="s">
        <v>498</v>
      </c>
      <c r="C27" s="3" t="s">
        <v>499</v>
      </c>
    </row>
    <row r="28" spans="1:3" x14ac:dyDescent="0.3">
      <c r="A28" s="3" t="s">
        <v>500</v>
      </c>
      <c r="B28" s="3">
        <v>3</v>
      </c>
      <c r="C28" s="12">
        <f>B28*$B$12</f>
        <v>432000</v>
      </c>
    </row>
    <row r="29" spans="1:3" x14ac:dyDescent="0.3">
      <c r="A29" s="3" t="s">
        <v>501</v>
      </c>
      <c r="B29" s="3">
        <v>15</v>
      </c>
      <c r="C29" s="12">
        <f>B29*$B$12</f>
        <v>2160000</v>
      </c>
    </row>
    <row r="30" spans="1:3" x14ac:dyDescent="0.3">
      <c r="A30" s="3" t="s">
        <v>502</v>
      </c>
      <c r="B30" s="3">
        <v>50</v>
      </c>
      <c r="C30" s="12">
        <f>B30*$B$12</f>
        <v>7200000</v>
      </c>
    </row>
    <row r="31" spans="1:3" x14ac:dyDescent="0.3">
      <c r="A31" s="3" t="s">
        <v>503</v>
      </c>
      <c r="B31" s="3">
        <v>100</v>
      </c>
      <c r="C31" s="12">
        <f>B31*$B$12</f>
        <v>14400000</v>
      </c>
    </row>
    <row r="32" spans="1:3" x14ac:dyDescent="0.3">
      <c r="A32" s="3" t="s">
        <v>504</v>
      </c>
      <c r="B32" s="3">
        <v>165</v>
      </c>
      <c r="C32" s="12">
        <f>B32*$B$12</f>
        <v>23760000</v>
      </c>
    </row>
    <row r="33" spans="1:3" x14ac:dyDescent="0.3">
      <c r="A33" s="3"/>
      <c r="B33" s="3"/>
      <c r="C33" s="3"/>
    </row>
    <row r="34" spans="1:3" x14ac:dyDescent="0.3">
      <c r="A34" s="3" t="s">
        <v>505</v>
      </c>
      <c r="B34" s="3" t="s">
        <v>506</v>
      </c>
      <c r="C34" s="3"/>
    </row>
    <row r="35" spans="1:3" x14ac:dyDescent="0.3">
      <c r="A35" s="3" t="s">
        <v>507</v>
      </c>
      <c r="B35" s="12">
        <v>560130</v>
      </c>
      <c r="C35" s="3"/>
    </row>
    <row r="36" spans="1:3" x14ac:dyDescent="0.3">
      <c r="A36" s="6" t="s">
        <v>508</v>
      </c>
      <c r="B36" s="12">
        <v>210000</v>
      </c>
      <c r="C36" s="3"/>
    </row>
    <row r="37" spans="1:3" x14ac:dyDescent="0.3">
      <c r="A37" s="3" t="s">
        <v>509</v>
      </c>
      <c r="B37" s="12">
        <v>45000</v>
      </c>
      <c r="C37" s="3"/>
    </row>
    <row r="38" spans="1:3" x14ac:dyDescent="0.3">
      <c r="A38" s="3" t="s">
        <v>510</v>
      </c>
      <c r="B38" s="12">
        <v>32400</v>
      </c>
      <c r="C38" s="3"/>
    </row>
    <row r="39" spans="1:3" x14ac:dyDescent="0.3">
      <c r="A39" s="3" t="s">
        <v>511</v>
      </c>
      <c r="B39" s="12">
        <v>84753</v>
      </c>
      <c r="C39" s="3"/>
    </row>
    <row r="40" spans="1:3" x14ac:dyDescent="0.3">
      <c r="A40" s="9" t="s">
        <v>459</v>
      </c>
      <c r="B40" s="12">
        <f>SUM(B35:B39)</f>
        <v>932283</v>
      </c>
      <c r="C40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8" customWidth="1"/>
    <col min="2" max="2" width="14" customWidth="1"/>
    <col min="3" max="3" width="70" customWidth="1"/>
  </cols>
  <sheetData>
    <row r="1" spans="1:3" ht="30" customHeight="1" x14ac:dyDescent="0.3">
      <c r="A1" s="13" t="s">
        <v>512</v>
      </c>
      <c r="B1" s="13" t="s">
        <v>461</v>
      </c>
      <c r="C1" s="13" t="s">
        <v>513</v>
      </c>
    </row>
    <row r="2" spans="1:3" x14ac:dyDescent="0.3">
      <c r="A2" s="3" t="s">
        <v>514</v>
      </c>
      <c r="B2" s="3">
        <v>437.5</v>
      </c>
      <c r="C2" s="3" t="s">
        <v>515</v>
      </c>
    </row>
    <row r="3" spans="1:3" x14ac:dyDescent="0.3">
      <c r="A3" s="3" t="s">
        <v>516</v>
      </c>
      <c r="B3" s="3">
        <v>315</v>
      </c>
      <c r="C3" s="3" t="s">
        <v>515</v>
      </c>
    </row>
    <row r="4" spans="1:3" x14ac:dyDescent="0.3">
      <c r="A4" s="3" t="s">
        <v>517</v>
      </c>
      <c r="B4" s="3">
        <v>437.5</v>
      </c>
      <c r="C4" s="3" t="s">
        <v>515</v>
      </c>
    </row>
    <row r="5" spans="1:3" x14ac:dyDescent="0.3">
      <c r="A5" s="3" t="s">
        <v>518</v>
      </c>
      <c r="B5" s="3">
        <v>375</v>
      </c>
      <c r="C5" s="3" t="s">
        <v>515</v>
      </c>
    </row>
    <row r="6" spans="1:3" x14ac:dyDescent="0.3">
      <c r="A6" s="3" t="s">
        <v>519</v>
      </c>
      <c r="B6" s="3">
        <v>117.5</v>
      </c>
      <c r="C6" s="3" t="s">
        <v>515</v>
      </c>
    </row>
    <row r="7" spans="1:3" x14ac:dyDescent="0.3">
      <c r="A7" s="3" t="s">
        <v>520</v>
      </c>
      <c r="B7" s="3">
        <v>380</v>
      </c>
      <c r="C7" s="3" t="s">
        <v>515</v>
      </c>
    </row>
    <row r="8" spans="1:3" x14ac:dyDescent="0.3">
      <c r="A8" s="3" t="s">
        <v>521</v>
      </c>
      <c r="B8" s="3">
        <v>295</v>
      </c>
      <c r="C8" s="3" t="s">
        <v>515</v>
      </c>
    </row>
    <row r="9" spans="1:3" x14ac:dyDescent="0.3">
      <c r="A9" s="3" t="s">
        <v>522</v>
      </c>
      <c r="B9" s="3">
        <v>365</v>
      </c>
      <c r="C9" s="3" t="s">
        <v>515</v>
      </c>
    </row>
    <row r="10" spans="1:3" x14ac:dyDescent="0.3">
      <c r="A10" s="3" t="s">
        <v>523</v>
      </c>
      <c r="B10" s="3">
        <v>252.5</v>
      </c>
      <c r="C10" s="3" t="s">
        <v>515</v>
      </c>
    </row>
    <row r="11" spans="1:3" x14ac:dyDescent="0.3">
      <c r="A11" s="3" t="s">
        <v>524</v>
      </c>
      <c r="B11" s="3">
        <v>500</v>
      </c>
      <c r="C11" s="3" t="s">
        <v>525</v>
      </c>
    </row>
    <row r="12" spans="1:3" x14ac:dyDescent="0.3">
      <c r="A12" s="3" t="s">
        <v>526</v>
      </c>
      <c r="B12" s="3">
        <v>700</v>
      </c>
      <c r="C12" s="3" t="s">
        <v>525</v>
      </c>
    </row>
    <row r="13" spans="1:3" x14ac:dyDescent="0.3">
      <c r="A13" s="3" t="s">
        <v>527</v>
      </c>
      <c r="B13" s="3">
        <v>450</v>
      </c>
      <c r="C13" s="3" t="s">
        <v>525</v>
      </c>
    </row>
    <row r="14" spans="1:3" x14ac:dyDescent="0.3">
      <c r="A14" s="3" t="s">
        <v>528</v>
      </c>
      <c r="B14" s="3">
        <v>300</v>
      </c>
      <c r="C14" s="3" t="s">
        <v>525</v>
      </c>
    </row>
    <row r="15" spans="1:3" x14ac:dyDescent="0.3">
      <c r="A15" s="3" t="s">
        <v>529</v>
      </c>
      <c r="B15" s="3">
        <v>150</v>
      </c>
      <c r="C15" s="3" t="s">
        <v>525</v>
      </c>
    </row>
    <row r="16" spans="1:3" x14ac:dyDescent="0.3">
      <c r="A16" s="3" t="s">
        <v>530</v>
      </c>
      <c r="B16" s="3">
        <v>216</v>
      </c>
      <c r="C16" s="3" t="s">
        <v>525</v>
      </c>
    </row>
    <row r="17" spans="1:3" x14ac:dyDescent="0.3">
      <c r="A17" s="3" t="s">
        <v>531</v>
      </c>
      <c r="B17" s="15">
        <v>96</v>
      </c>
      <c r="C17" s="3"/>
    </row>
    <row r="18" spans="1:3" x14ac:dyDescent="0.3">
      <c r="A18" s="3" t="s">
        <v>532</v>
      </c>
      <c r="B18" s="15">
        <v>0.18</v>
      </c>
      <c r="C18" s="3"/>
    </row>
    <row r="19" spans="1:3" x14ac:dyDescent="0.3">
      <c r="A19" s="3" t="s">
        <v>533</v>
      </c>
      <c r="B19" s="15">
        <v>0.15</v>
      </c>
      <c r="C19" s="3"/>
    </row>
    <row r="20" spans="1:3" x14ac:dyDescent="0.3">
      <c r="A20" s="6" t="s">
        <v>534</v>
      </c>
      <c r="B20" s="15">
        <v>0.4</v>
      </c>
      <c r="C20" s="3"/>
    </row>
    <row r="21" spans="1:3" x14ac:dyDescent="0.3">
      <c r="A21" s="6" t="s">
        <v>535</v>
      </c>
      <c r="B21" s="15">
        <v>0.05</v>
      </c>
      <c r="C21" s="3"/>
    </row>
    <row r="22" spans="1:3" x14ac:dyDescent="0.3">
      <c r="A22" s="3" t="s">
        <v>536</v>
      </c>
      <c r="B22" s="15">
        <v>0.03</v>
      </c>
      <c r="C22" s="3"/>
    </row>
    <row r="23" spans="1:3" x14ac:dyDescent="0.3">
      <c r="A23" s="3" t="s">
        <v>537</v>
      </c>
      <c r="B23" s="15">
        <v>0</v>
      </c>
      <c r="C23" s="3"/>
    </row>
    <row r="24" spans="1:3" x14ac:dyDescent="0.3">
      <c r="A24" s="3" t="s">
        <v>538</v>
      </c>
      <c r="B24" s="15">
        <v>0</v>
      </c>
      <c r="C24" s="3"/>
    </row>
    <row r="25" spans="1:3" x14ac:dyDescent="0.3">
      <c r="A25" s="6" t="s">
        <v>539</v>
      </c>
      <c r="B25" s="15">
        <v>75000</v>
      </c>
      <c r="C25" s="3"/>
    </row>
    <row r="26" spans="1:3" x14ac:dyDescent="0.3">
      <c r="A26" s="3" t="s">
        <v>540</v>
      </c>
      <c r="B26" s="15">
        <v>50000</v>
      </c>
      <c r="C26" s="3"/>
    </row>
    <row r="27" spans="1:3" x14ac:dyDescent="0.3">
      <c r="A27" s="6" t="s">
        <v>541</v>
      </c>
      <c r="B27" s="15">
        <v>80</v>
      </c>
      <c r="C27" s="3"/>
    </row>
    <row r="28" spans="1:3" x14ac:dyDescent="0.3">
      <c r="A28" s="3" t="s">
        <v>542</v>
      </c>
      <c r="B28" s="15">
        <v>40</v>
      </c>
      <c r="C28" s="3"/>
    </row>
    <row r="29" spans="1:3" x14ac:dyDescent="0.3">
      <c r="A29" s="6" t="s">
        <v>543</v>
      </c>
      <c r="B29" s="15">
        <v>100</v>
      </c>
      <c r="C29" s="3"/>
    </row>
    <row r="30" spans="1:3" x14ac:dyDescent="0.3">
      <c r="A30" s="3"/>
      <c r="B30" s="3"/>
      <c r="C30" s="3"/>
    </row>
    <row r="31" spans="1:3" ht="57.6" x14ac:dyDescent="0.3">
      <c r="A31" s="6" t="s">
        <v>544</v>
      </c>
      <c r="B31" s="3"/>
      <c r="C31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100" customWidth="1"/>
    <col min="3" max="3" width="80" customWidth="1"/>
  </cols>
  <sheetData>
    <row r="1" spans="1:3" ht="30" customHeight="1" x14ac:dyDescent="0.3">
      <c r="A1" s="13" t="s">
        <v>545</v>
      </c>
      <c r="B1" s="13" t="s">
        <v>546</v>
      </c>
      <c r="C1" s="13" t="s">
        <v>547</v>
      </c>
    </row>
    <row r="2" spans="1:3" x14ac:dyDescent="0.3">
      <c r="A2" s="3" t="s">
        <v>548</v>
      </c>
      <c r="B2" s="6" t="s">
        <v>549</v>
      </c>
      <c r="C2" s="6" t="s">
        <v>550</v>
      </c>
    </row>
    <row r="3" spans="1:3" x14ac:dyDescent="0.3">
      <c r="A3" s="3" t="s">
        <v>551</v>
      </c>
      <c r="B3" s="6" t="s">
        <v>552</v>
      </c>
      <c r="C3" s="6" t="s">
        <v>553</v>
      </c>
    </row>
    <row r="4" spans="1:3" x14ac:dyDescent="0.3">
      <c r="A4" s="3" t="s">
        <v>554</v>
      </c>
      <c r="B4" s="6" t="s">
        <v>555</v>
      </c>
      <c r="C4" s="6" t="s">
        <v>556</v>
      </c>
    </row>
    <row r="5" spans="1:3" x14ac:dyDescent="0.3">
      <c r="A5" s="3" t="s">
        <v>557</v>
      </c>
      <c r="B5" s="6" t="s">
        <v>558</v>
      </c>
      <c r="C5" s="6" t="s">
        <v>559</v>
      </c>
    </row>
    <row r="6" spans="1:3" x14ac:dyDescent="0.3">
      <c r="A6" s="3" t="s">
        <v>560</v>
      </c>
      <c r="B6" s="6" t="s">
        <v>561</v>
      </c>
      <c r="C6" s="6" t="s">
        <v>562</v>
      </c>
    </row>
    <row r="7" spans="1:3" ht="28.8" x14ac:dyDescent="0.3">
      <c r="A7" s="3" t="s">
        <v>563</v>
      </c>
      <c r="B7" s="6" t="s">
        <v>564</v>
      </c>
      <c r="C7" s="6" t="s">
        <v>565</v>
      </c>
    </row>
    <row r="8" spans="1:3" x14ac:dyDescent="0.3">
      <c r="A8" s="3" t="s">
        <v>70</v>
      </c>
      <c r="B8" s="6" t="s">
        <v>566</v>
      </c>
      <c r="C8" s="6" t="s">
        <v>567</v>
      </c>
    </row>
    <row r="9" spans="1:3" ht="28.8" x14ac:dyDescent="0.3">
      <c r="A9" s="3" t="s">
        <v>73</v>
      </c>
      <c r="B9" s="6" t="s">
        <v>568</v>
      </c>
      <c r="C9" s="6" t="s">
        <v>569</v>
      </c>
    </row>
    <row r="10" spans="1:3" ht="28.8" x14ac:dyDescent="0.3">
      <c r="A10" s="3" t="s">
        <v>76</v>
      </c>
      <c r="B10" s="6" t="s">
        <v>570</v>
      </c>
      <c r="C10" s="6" t="s">
        <v>571</v>
      </c>
    </row>
    <row r="11" spans="1:3" ht="28.8" x14ac:dyDescent="0.3">
      <c r="A11" s="3" t="s">
        <v>110</v>
      </c>
      <c r="B11" s="6" t="s">
        <v>572</v>
      </c>
      <c r="C11" s="6" t="s">
        <v>573</v>
      </c>
    </row>
    <row r="12" spans="1:3" ht="43.2" x14ac:dyDescent="0.3">
      <c r="A12" s="3" t="s">
        <v>115</v>
      </c>
      <c r="B12" s="6" t="s">
        <v>574</v>
      </c>
      <c r="C12" s="6" t="s">
        <v>575</v>
      </c>
    </row>
    <row r="13" spans="1:3" x14ac:dyDescent="0.3">
      <c r="A13" s="3" t="s">
        <v>119</v>
      </c>
      <c r="B13" s="6" t="s">
        <v>576</v>
      </c>
      <c r="C13" s="6" t="s">
        <v>577</v>
      </c>
    </row>
    <row r="14" spans="1:3" ht="28.8" x14ac:dyDescent="0.3">
      <c r="A14" s="3" t="s">
        <v>124</v>
      </c>
      <c r="B14" s="6" t="s">
        <v>578</v>
      </c>
      <c r="C14" s="6" t="s">
        <v>579</v>
      </c>
    </row>
    <row r="15" spans="1:3" x14ac:dyDescent="0.3">
      <c r="A15" s="3" t="s">
        <v>127</v>
      </c>
      <c r="B15" s="6" t="s">
        <v>580</v>
      </c>
      <c r="C15" s="3" t="s">
        <v>581</v>
      </c>
    </row>
    <row r="16" spans="1:3" ht="28.8" x14ac:dyDescent="0.3">
      <c r="A16" s="3" t="s">
        <v>135</v>
      </c>
      <c r="B16" s="6" t="s">
        <v>582</v>
      </c>
      <c r="C16" s="6" t="s">
        <v>583</v>
      </c>
    </row>
    <row r="17" spans="1:3" x14ac:dyDescent="0.3">
      <c r="A17" s="3" t="s">
        <v>139</v>
      </c>
      <c r="B17" s="6" t="s">
        <v>584</v>
      </c>
      <c r="C17" s="6" t="s">
        <v>585</v>
      </c>
    </row>
    <row r="18" spans="1:3" ht="28.8" x14ac:dyDescent="0.3">
      <c r="A18" s="3" t="s">
        <v>105</v>
      </c>
      <c r="B18" s="6" t="s">
        <v>586</v>
      </c>
      <c r="C18" s="6" t="s">
        <v>587</v>
      </c>
    </row>
    <row r="19" spans="1:3" x14ac:dyDescent="0.3">
      <c r="A19" s="3" t="s">
        <v>98</v>
      </c>
      <c r="B19" s="6" t="s">
        <v>588</v>
      </c>
      <c r="C19" s="6" t="s">
        <v>589</v>
      </c>
    </row>
    <row r="20" spans="1:3" x14ac:dyDescent="0.3">
      <c r="A20" s="3" t="s">
        <v>80</v>
      </c>
      <c r="B20" s="6" t="s">
        <v>590</v>
      </c>
      <c r="C20" s="6" t="s">
        <v>591</v>
      </c>
    </row>
    <row r="21" spans="1:3" x14ac:dyDescent="0.3">
      <c r="A21" s="3" t="s">
        <v>131</v>
      </c>
      <c r="B21" s="6" t="s">
        <v>592</v>
      </c>
      <c r="C21" s="6" t="s">
        <v>593</v>
      </c>
    </row>
    <row r="22" spans="1:3" x14ac:dyDescent="0.3">
      <c r="A22" s="3" t="s">
        <v>93</v>
      </c>
      <c r="B22" s="6" t="s">
        <v>594</v>
      </c>
      <c r="C22" s="6" t="s">
        <v>595</v>
      </c>
    </row>
    <row r="23" spans="1:3" x14ac:dyDescent="0.3">
      <c r="A23" s="3" t="s">
        <v>101</v>
      </c>
      <c r="B23" s="6" t="s">
        <v>596</v>
      </c>
      <c r="C23" s="6" t="s">
        <v>597</v>
      </c>
    </row>
    <row r="24" spans="1:3" x14ac:dyDescent="0.3">
      <c r="A24" s="3" t="s">
        <v>142</v>
      </c>
      <c r="B24" s="6" t="s">
        <v>598</v>
      </c>
      <c r="C24" s="6" t="s">
        <v>599</v>
      </c>
    </row>
    <row r="25" spans="1:3" x14ac:dyDescent="0.3">
      <c r="A25" s="3" t="s">
        <v>600</v>
      </c>
      <c r="B25" s="6" t="s">
        <v>601</v>
      </c>
      <c r="C25" s="6" t="s">
        <v>602</v>
      </c>
    </row>
    <row r="26" spans="1:3" x14ac:dyDescent="0.3">
      <c r="A26" s="3" t="s">
        <v>603</v>
      </c>
      <c r="B26" s="6" t="s">
        <v>604</v>
      </c>
      <c r="C26" s="6" t="s">
        <v>605</v>
      </c>
    </row>
    <row r="27" spans="1:3" x14ac:dyDescent="0.3">
      <c r="A27" s="3" t="s">
        <v>606</v>
      </c>
      <c r="B27" s="6" t="s">
        <v>607</v>
      </c>
      <c r="C27" s="3" t="s">
        <v>608</v>
      </c>
    </row>
    <row r="28" spans="1:3" x14ac:dyDescent="0.3">
      <c r="A28" s="3" t="s">
        <v>609</v>
      </c>
      <c r="B28" s="6" t="s">
        <v>610</v>
      </c>
      <c r="C28" s="6" t="s">
        <v>611</v>
      </c>
    </row>
    <row r="29" spans="1:3" x14ac:dyDescent="0.3">
      <c r="A29" s="3" t="s">
        <v>612</v>
      </c>
      <c r="B29" s="6" t="s">
        <v>613</v>
      </c>
      <c r="C29" s="6" t="s">
        <v>614</v>
      </c>
    </row>
    <row r="30" spans="1:3" x14ac:dyDescent="0.3">
      <c r="A30" s="3" t="s">
        <v>615</v>
      </c>
      <c r="B30" s="6" t="s">
        <v>616</v>
      </c>
      <c r="C30" s="6" t="s">
        <v>617</v>
      </c>
    </row>
    <row r="31" spans="1:3" x14ac:dyDescent="0.3">
      <c r="A31" s="3" t="s">
        <v>277</v>
      </c>
      <c r="B31" s="6" t="s">
        <v>618</v>
      </c>
      <c r="C31" s="3" t="s">
        <v>619</v>
      </c>
    </row>
    <row r="32" spans="1:3" ht="28.8" x14ac:dyDescent="0.3">
      <c r="A32" s="3" t="s">
        <v>620</v>
      </c>
      <c r="B32" s="6" t="s">
        <v>621</v>
      </c>
      <c r="C32" s="6" t="s">
        <v>622</v>
      </c>
    </row>
    <row r="33" spans="1:3" x14ac:dyDescent="0.3">
      <c r="A33" s="3" t="s">
        <v>623</v>
      </c>
      <c r="B33" s="6" t="s">
        <v>624</v>
      </c>
      <c r="C33" s="6" t="s">
        <v>625</v>
      </c>
    </row>
    <row r="34" spans="1:3" x14ac:dyDescent="0.3">
      <c r="A34" s="3" t="s">
        <v>626</v>
      </c>
      <c r="B34" s="6" t="s">
        <v>627</v>
      </c>
      <c r="C34" s="6" t="s">
        <v>628</v>
      </c>
    </row>
    <row r="35" spans="1:3" x14ac:dyDescent="0.3">
      <c r="A35" s="3" t="s">
        <v>629</v>
      </c>
      <c r="B35" s="6" t="s">
        <v>630</v>
      </c>
      <c r="C35" s="6" t="s">
        <v>631</v>
      </c>
    </row>
    <row r="36" spans="1:3" x14ac:dyDescent="0.3">
      <c r="A36" s="3" t="s">
        <v>247</v>
      </c>
      <c r="B36" s="6" t="s">
        <v>632</v>
      </c>
      <c r="C36" s="6" t="s">
        <v>633</v>
      </c>
    </row>
    <row r="37" spans="1:3" ht="28.8" x14ac:dyDescent="0.3">
      <c r="A37" s="3" t="s">
        <v>634</v>
      </c>
      <c r="B37" s="6" t="s">
        <v>635</v>
      </c>
      <c r="C37" s="6" t="s">
        <v>636</v>
      </c>
    </row>
    <row r="38" spans="1:3" ht="28.8" x14ac:dyDescent="0.3">
      <c r="A38" s="3" t="s">
        <v>637</v>
      </c>
      <c r="B38" s="6" t="s">
        <v>638</v>
      </c>
      <c r="C38" s="6" t="s">
        <v>639</v>
      </c>
    </row>
    <row r="39" spans="1:3" x14ac:dyDescent="0.3">
      <c r="A39" s="3" t="s">
        <v>640</v>
      </c>
      <c r="B39" s="6" t="s">
        <v>641</v>
      </c>
      <c r="C39" s="6" t="s">
        <v>642</v>
      </c>
    </row>
    <row r="40" spans="1:3" x14ac:dyDescent="0.3">
      <c r="A40" s="3" t="s">
        <v>495</v>
      </c>
      <c r="B40" s="6" t="s">
        <v>643</v>
      </c>
      <c r="C40" s="6" t="s">
        <v>644</v>
      </c>
    </row>
    <row r="41" spans="1:3" ht="43.2" x14ac:dyDescent="0.3">
      <c r="A41" s="3" t="s">
        <v>645</v>
      </c>
      <c r="B41" s="6" t="s">
        <v>646</v>
      </c>
      <c r="C41" s="6" t="s">
        <v>647</v>
      </c>
    </row>
    <row r="42" spans="1:3" x14ac:dyDescent="0.3">
      <c r="A42" s="3" t="s">
        <v>648</v>
      </c>
      <c r="B42" s="6" t="s">
        <v>649</v>
      </c>
      <c r="C42" s="6" t="s">
        <v>650</v>
      </c>
    </row>
    <row r="43" spans="1:3" ht="28.8" x14ac:dyDescent="0.3">
      <c r="A43" s="3" t="s">
        <v>651</v>
      </c>
      <c r="B43" s="6" t="s">
        <v>652</v>
      </c>
      <c r="C43" s="6" t="s">
        <v>653</v>
      </c>
    </row>
    <row r="44" spans="1:3" x14ac:dyDescent="0.3">
      <c r="A44" s="3" t="s">
        <v>654</v>
      </c>
      <c r="B44" s="6" t="s">
        <v>655</v>
      </c>
      <c r="C44" s="6" t="s">
        <v>656</v>
      </c>
    </row>
    <row r="45" spans="1:3" ht="28.8" x14ac:dyDescent="0.3">
      <c r="A45" s="3" t="s">
        <v>657</v>
      </c>
      <c r="B45" s="6" t="s">
        <v>658</v>
      </c>
      <c r="C45" s="6" t="s">
        <v>659</v>
      </c>
    </row>
    <row r="46" spans="1:3" x14ac:dyDescent="0.3">
      <c r="A46" s="3" t="s">
        <v>660</v>
      </c>
      <c r="B46" s="6" t="s">
        <v>661</v>
      </c>
      <c r="C46" s="6" t="s">
        <v>662</v>
      </c>
    </row>
    <row r="47" spans="1:3" x14ac:dyDescent="0.3">
      <c r="A47" s="3" t="s">
        <v>663</v>
      </c>
      <c r="B47" s="6" t="s">
        <v>664</v>
      </c>
      <c r="C47" s="6" t="s">
        <v>665</v>
      </c>
    </row>
    <row r="48" spans="1:3" ht="28.8" x14ac:dyDescent="0.3">
      <c r="A48" s="3" t="s">
        <v>666</v>
      </c>
      <c r="B48" s="6" t="s">
        <v>667</v>
      </c>
      <c r="C48" s="6" t="s">
        <v>668</v>
      </c>
    </row>
    <row r="49" spans="1:3" x14ac:dyDescent="0.3">
      <c r="A49" s="3" t="s">
        <v>669</v>
      </c>
      <c r="B49" s="6" t="s">
        <v>670</v>
      </c>
      <c r="C49" s="6" t="s">
        <v>671</v>
      </c>
    </row>
    <row r="50" spans="1:3" ht="28.8" x14ac:dyDescent="0.3">
      <c r="A50" s="3" t="s">
        <v>672</v>
      </c>
      <c r="B50" s="6" t="s">
        <v>673</v>
      </c>
      <c r="C50" s="6" t="s">
        <v>674</v>
      </c>
    </row>
    <row r="51" spans="1:3" x14ac:dyDescent="0.3">
      <c r="A51" s="3"/>
      <c r="B51" s="3"/>
      <c r="C51" s="3"/>
    </row>
    <row r="52" spans="1:3" x14ac:dyDescent="0.3">
      <c r="A52" s="3"/>
      <c r="B52" s="6" t="s">
        <v>675</v>
      </c>
      <c r="C5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Costed BOM</vt:lpstr>
      <vt:lpstr>Fabricated parts</vt:lpstr>
      <vt:lpstr>R3 BOM check</vt:lpstr>
      <vt:lpstr>Business model</vt:lpstr>
      <vt:lpstr>Rates &amp; assumptions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soham kadu</cp:lastModifiedBy>
  <dcterms:created xsi:type="dcterms:W3CDTF">2026-10-23T14:23:27Z</dcterms:created>
  <dcterms:modified xsi:type="dcterms:W3CDTF">2026-10-23T14:23:34Z</dcterms:modified>
</cp:coreProperties>
</file>